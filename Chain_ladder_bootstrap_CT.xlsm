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JED\Desktop\GAC\"/>
    </mc:Choice>
  </mc:AlternateContent>
  <xr:revisionPtr revIDLastSave="0" documentId="13_ncr:1_{EB6C19EA-4ABB-4648-B35C-8F83B81A8B6A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Bootstrap" sheetId="1" r:id="rId1"/>
    <sheet name="SAMPLE" sheetId="3" r:id="rId2"/>
    <sheet name="Data" sheetId="2" state="hidden" r:id="rId3"/>
  </sheets>
  <functionGroups builtInGroupCount="19"/>
  <definedNames>
    <definedName name="bsnum">Bootstrap!$I$26</definedName>
    <definedName name="Corner">#REF!</definedName>
    <definedName name="Corr">#REF!</definedName>
    <definedName name="Covar">#REF!</definedName>
    <definedName name="data">#REF!</definedName>
    <definedName name="Input1">Bootstrap!$B$189</definedName>
    <definedName name="saveres">Bootstrap!$I$27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51" i="1" l="1"/>
  <c r="Z50" i="1"/>
  <c r="R50" i="1"/>
  <c r="R47" i="1"/>
  <c r="S46" i="1"/>
  <c r="R46" i="1"/>
  <c r="T45" i="1"/>
  <c r="S45" i="1"/>
  <c r="R45" i="1"/>
  <c r="U44" i="1"/>
  <c r="T44" i="1"/>
  <c r="S44" i="1"/>
  <c r="R44" i="1"/>
  <c r="V43" i="1"/>
  <c r="U43" i="1"/>
  <c r="T43" i="1"/>
  <c r="S43" i="1"/>
  <c r="S51" i="1" s="1"/>
  <c r="R43" i="1"/>
  <c r="W42" i="1"/>
  <c r="V42" i="1"/>
  <c r="U42" i="1"/>
  <c r="T42" i="1"/>
  <c r="S42" i="1"/>
  <c r="R42" i="1"/>
  <c r="X41" i="1"/>
  <c r="W41" i="1"/>
  <c r="V41" i="1"/>
  <c r="U41" i="1"/>
  <c r="T41" i="1"/>
  <c r="S41" i="1"/>
  <c r="R41" i="1"/>
  <c r="Y40" i="1"/>
  <c r="X40" i="1"/>
  <c r="X51" i="1" s="1"/>
  <c r="W40" i="1"/>
  <c r="V40" i="1"/>
  <c r="U40" i="1"/>
  <c r="T40" i="1"/>
  <c r="T50" i="1" s="1"/>
  <c r="S40" i="1"/>
  <c r="R40" i="1"/>
  <c r="Z39" i="1"/>
  <c r="Y39" i="1"/>
  <c r="Y50" i="1" s="1"/>
  <c r="X39" i="1"/>
  <c r="W39" i="1"/>
  <c r="W51" i="1" s="1"/>
  <c r="V39" i="1"/>
  <c r="V51" i="1" s="1"/>
  <c r="U39" i="1"/>
  <c r="U51" i="1" s="1"/>
  <c r="T39" i="1"/>
  <c r="T51" i="1" s="1"/>
  <c r="T52" i="1" s="1"/>
  <c r="S39" i="1"/>
  <c r="S50" i="1" s="1"/>
  <c r="R39" i="1"/>
  <c r="R51" i="1" s="1"/>
  <c r="R52" i="1" s="1"/>
  <c r="Y27" i="1"/>
  <c r="AB25" i="1"/>
  <c r="Y25" i="1"/>
  <c r="AB27" i="1" s="1"/>
  <c r="N39" i="1"/>
  <c r="P34" i="1" s="1"/>
  <c r="N24" i="1"/>
  <c r="M24" i="1"/>
  <c r="B24" i="1"/>
  <c r="C25" i="1"/>
  <c r="M25" i="1" s="1"/>
  <c r="D25" i="1"/>
  <c r="N25" i="1" s="1"/>
  <c r="C26" i="1"/>
  <c r="M26" i="1" s="1"/>
  <c r="D26" i="1"/>
  <c r="N26" i="1" s="1"/>
  <c r="C27" i="1"/>
  <c r="M27" i="1" s="1"/>
  <c r="D27" i="1"/>
  <c r="N27" i="1" s="1"/>
  <c r="C28" i="1"/>
  <c r="M28" i="1" s="1"/>
  <c r="D28" i="1"/>
  <c r="N28" i="1" s="1"/>
  <c r="C29" i="1"/>
  <c r="M29" i="1" s="1"/>
  <c r="D29" i="1"/>
  <c r="N29" i="1" s="1"/>
  <c r="C30" i="1"/>
  <c r="M30" i="1" s="1"/>
  <c r="D30" i="1"/>
  <c r="N30" i="1" s="1"/>
  <c r="C31" i="1"/>
  <c r="M31" i="1" s="1"/>
  <c r="D31" i="1"/>
  <c r="N31" i="1" s="1"/>
  <c r="C32" i="1"/>
  <c r="M32" i="1" s="1"/>
  <c r="D32" i="1"/>
  <c r="N32" i="1" s="1"/>
  <c r="I32" i="1"/>
  <c r="C33" i="1"/>
  <c r="M33" i="1" s="1"/>
  <c r="D33" i="1"/>
  <c r="N33" i="1" s="1"/>
  <c r="C34" i="1"/>
  <c r="M34" i="1" s="1"/>
  <c r="D34" i="1"/>
  <c r="N34" i="1" s="1"/>
  <c r="B39" i="1"/>
  <c r="C39" i="1" s="1"/>
  <c r="B40" i="1"/>
  <c r="C40" i="1" s="1"/>
  <c r="D40" i="1" s="1"/>
  <c r="E40" i="1" s="1"/>
  <c r="F40" i="1" s="1"/>
  <c r="G40" i="1" s="1"/>
  <c r="H40" i="1" s="1"/>
  <c r="I40" i="1" s="1"/>
  <c r="J40" i="1" s="1"/>
  <c r="J57" i="1" s="1"/>
  <c r="B41" i="1"/>
  <c r="C41" i="1" s="1"/>
  <c r="D41" i="1" s="1"/>
  <c r="E41" i="1" s="1"/>
  <c r="F41" i="1" s="1"/>
  <c r="G41" i="1" s="1"/>
  <c r="H41" i="1" s="1"/>
  <c r="I41" i="1" s="1"/>
  <c r="I58" i="1" s="1"/>
  <c r="B42" i="1"/>
  <c r="C42" i="1" s="1"/>
  <c r="D42" i="1" s="1"/>
  <c r="E42" i="1" s="1"/>
  <c r="F42" i="1" s="1"/>
  <c r="G42" i="1" s="1"/>
  <c r="H42" i="1" s="1"/>
  <c r="H59" i="1" s="1"/>
  <c r="B43" i="1"/>
  <c r="C43" i="1" s="1"/>
  <c r="D43" i="1" s="1"/>
  <c r="E43" i="1" s="1"/>
  <c r="F43" i="1" s="1"/>
  <c r="G43" i="1" s="1"/>
  <c r="G60" i="1" s="1"/>
  <c r="B44" i="1"/>
  <c r="C44" i="1" s="1"/>
  <c r="D44" i="1" s="1"/>
  <c r="E44" i="1" s="1"/>
  <c r="F44" i="1" s="1"/>
  <c r="F61" i="1" s="1"/>
  <c r="B45" i="1"/>
  <c r="C45" i="1" s="1"/>
  <c r="D45" i="1" s="1"/>
  <c r="E45" i="1" s="1"/>
  <c r="E62" i="1" s="1"/>
  <c r="B46" i="1"/>
  <c r="C46" i="1"/>
  <c r="D46" i="1" s="1"/>
  <c r="D63" i="1" s="1"/>
  <c r="B47" i="1"/>
  <c r="C47" i="1" s="1"/>
  <c r="C64" i="1" s="1"/>
  <c r="B48" i="1"/>
  <c r="B65" i="1" s="1"/>
  <c r="B82" i="1" s="1"/>
  <c r="P82" i="1" s="1"/>
  <c r="X88" i="1"/>
  <c r="W89" i="1"/>
  <c r="X89" i="1"/>
  <c r="V90" i="1"/>
  <c r="W90" i="1"/>
  <c r="X90" i="1"/>
  <c r="U91" i="1"/>
  <c r="V91" i="1"/>
  <c r="W91" i="1"/>
  <c r="X91" i="1"/>
  <c r="T92" i="1"/>
  <c r="U92" i="1"/>
  <c r="V92" i="1"/>
  <c r="W92" i="1"/>
  <c r="X92" i="1"/>
  <c r="S93" i="1"/>
  <c r="T93" i="1"/>
  <c r="U93" i="1"/>
  <c r="V93" i="1"/>
  <c r="W93" i="1"/>
  <c r="X93" i="1"/>
  <c r="R94" i="1"/>
  <c r="S94" i="1"/>
  <c r="T94" i="1"/>
  <c r="U94" i="1"/>
  <c r="V94" i="1"/>
  <c r="W94" i="1"/>
  <c r="X94" i="1"/>
  <c r="Q95" i="1"/>
  <c r="R95" i="1"/>
  <c r="S95" i="1"/>
  <c r="T95" i="1"/>
  <c r="U95" i="1"/>
  <c r="V95" i="1"/>
  <c r="W95" i="1"/>
  <c r="X95" i="1"/>
  <c r="P96" i="1"/>
  <c r="Q96" i="1"/>
  <c r="R96" i="1"/>
  <c r="S96" i="1"/>
  <c r="T96" i="1"/>
  <c r="U96" i="1"/>
  <c r="V96" i="1"/>
  <c r="W96" i="1"/>
  <c r="X96" i="1"/>
  <c r="AD115" i="1"/>
  <c r="B192" i="1"/>
  <c r="C192" i="1"/>
  <c r="D192" i="1"/>
  <c r="E192" i="1"/>
  <c r="F192" i="1"/>
  <c r="G192" i="1"/>
  <c r="H192" i="1"/>
  <c r="I192" i="1"/>
  <c r="J192" i="1"/>
  <c r="K192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B38" i="2"/>
  <c r="C38" i="2"/>
  <c r="D38" i="2"/>
  <c r="E38" i="2"/>
  <c r="F38" i="2"/>
  <c r="G38" i="2"/>
  <c r="H38" i="2"/>
  <c r="I38" i="2"/>
  <c r="J38" i="2"/>
  <c r="K38" i="2"/>
  <c r="B39" i="2"/>
  <c r="C39" i="2"/>
  <c r="D39" i="2"/>
  <c r="E39" i="2"/>
  <c r="F39" i="2"/>
  <c r="G39" i="2"/>
  <c r="H39" i="2"/>
  <c r="I39" i="2"/>
  <c r="J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B42" i="2"/>
  <c r="C42" i="2"/>
  <c r="D42" i="2"/>
  <c r="E42" i="2"/>
  <c r="F42" i="2"/>
  <c r="G42" i="2"/>
  <c r="B43" i="2"/>
  <c r="C43" i="2"/>
  <c r="D43" i="2"/>
  <c r="E43" i="2"/>
  <c r="F43" i="2"/>
  <c r="B44" i="2"/>
  <c r="C44" i="2"/>
  <c r="D44" i="2"/>
  <c r="E44" i="2"/>
  <c r="B45" i="2"/>
  <c r="C45" i="2"/>
  <c r="D45" i="2"/>
  <c r="B46" i="2"/>
  <c r="C46" i="2"/>
  <c r="B47" i="2"/>
  <c r="X52" i="1" l="1"/>
  <c r="S52" i="1"/>
  <c r="Y52" i="1"/>
  <c r="U50" i="1"/>
  <c r="U52" i="1" s="1"/>
  <c r="V50" i="1"/>
  <c r="V52" i="1" s="1"/>
  <c r="W50" i="1"/>
  <c r="W52" i="1" s="1"/>
  <c r="X50" i="1"/>
  <c r="AB29" i="1"/>
  <c r="S28" i="1"/>
  <c r="T28" i="1" s="1"/>
  <c r="U28" i="1" s="1"/>
  <c r="S29" i="1"/>
  <c r="T29" i="1" s="1"/>
  <c r="U29" i="1" s="1"/>
  <c r="S25" i="1"/>
  <c r="T25" i="1" s="1"/>
  <c r="U25" i="1" s="1"/>
  <c r="S31" i="1"/>
  <c r="T31" i="1" s="1"/>
  <c r="U31" i="1" s="1"/>
  <c r="S27" i="1"/>
  <c r="T27" i="1" s="1"/>
  <c r="U27" i="1" s="1"/>
  <c r="S30" i="1"/>
  <c r="T30" i="1" s="1"/>
  <c r="U30" i="1" s="1"/>
  <c r="S26" i="1"/>
  <c r="T26" i="1" s="1"/>
  <c r="U26" i="1" s="1"/>
  <c r="S32" i="1"/>
  <c r="T32" i="1" s="1"/>
  <c r="U32" i="1" s="1"/>
  <c r="S33" i="1"/>
  <c r="T33" i="1" s="1"/>
  <c r="U33" i="1" s="1"/>
  <c r="S34" i="1"/>
  <c r="T34" i="1" s="1"/>
  <c r="U34" i="1" s="1"/>
  <c r="Q34" i="1"/>
  <c r="R34" i="1" s="1"/>
  <c r="P27" i="1"/>
  <c r="Q27" i="1" s="1"/>
  <c r="R27" i="1" s="1"/>
  <c r="P28" i="1"/>
  <c r="Q28" i="1" s="1"/>
  <c r="R28" i="1" s="1"/>
  <c r="P29" i="1"/>
  <c r="Q29" i="1" s="1"/>
  <c r="R29" i="1" s="1"/>
  <c r="P30" i="1"/>
  <c r="Q30" i="1" s="1"/>
  <c r="R30" i="1" s="1"/>
  <c r="P31" i="1"/>
  <c r="Q31" i="1" s="1"/>
  <c r="R31" i="1" s="1"/>
  <c r="P25" i="1"/>
  <c r="Q25" i="1" s="1"/>
  <c r="R25" i="1" s="1"/>
  <c r="P32" i="1"/>
  <c r="Q32" i="1" s="1"/>
  <c r="R32" i="1" s="1"/>
  <c r="P33" i="1"/>
  <c r="Q33" i="1" s="1"/>
  <c r="R33" i="1" s="1"/>
  <c r="P26" i="1"/>
  <c r="Q26" i="1" s="1"/>
  <c r="R26" i="1" s="1"/>
  <c r="O32" i="1"/>
  <c r="O26" i="1"/>
  <c r="O34" i="1"/>
  <c r="O33" i="1"/>
  <c r="O31" i="1"/>
  <c r="O30" i="1"/>
  <c r="O29" i="1"/>
  <c r="O28" i="1"/>
  <c r="O27" i="1"/>
  <c r="O25" i="1"/>
  <c r="E34" i="1"/>
  <c r="E33" i="1"/>
  <c r="E32" i="1"/>
  <c r="E30" i="1"/>
  <c r="E29" i="1"/>
  <c r="E28" i="1"/>
  <c r="E26" i="1"/>
  <c r="E25" i="1"/>
  <c r="E31" i="1"/>
  <c r="E27" i="1"/>
  <c r="B96" i="1"/>
  <c r="B51" i="1"/>
  <c r="B64" i="1" s="1"/>
  <c r="D39" i="1"/>
  <c r="O96" i="1" l="1"/>
  <c r="C209" i="1"/>
  <c r="B81" i="1"/>
  <c r="C81" i="1"/>
  <c r="C65" i="1"/>
  <c r="C51" i="1"/>
  <c r="E39" i="1"/>
  <c r="D64" i="1" l="1"/>
  <c r="C63" i="1"/>
  <c r="B95" i="1"/>
  <c r="P81" i="1"/>
  <c r="D51" i="1"/>
  <c r="F39" i="1"/>
  <c r="C95" i="1"/>
  <c r="Q81" i="1"/>
  <c r="C82" i="1"/>
  <c r="D65" i="1"/>
  <c r="P95" i="1" l="1"/>
  <c r="C218" i="1"/>
  <c r="G39" i="1"/>
  <c r="E51" i="1"/>
  <c r="D62" i="1"/>
  <c r="E63" i="1"/>
  <c r="O95" i="1"/>
  <c r="C208" i="1"/>
  <c r="B63" i="1"/>
  <c r="B80" i="1" s="1"/>
  <c r="C80" i="1"/>
  <c r="D80" i="1"/>
  <c r="E65" i="1"/>
  <c r="D82" i="1"/>
  <c r="D81" i="1"/>
  <c r="E64" i="1"/>
  <c r="E80" i="1" l="1"/>
  <c r="F63" i="1"/>
  <c r="E81" i="1"/>
  <c r="F64" i="1"/>
  <c r="C62" i="1"/>
  <c r="D79" i="1" s="1"/>
  <c r="E79" i="1"/>
  <c r="F65" i="1"/>
  <c r="E82" i="1"/>
  <c r="F62" i="1"/>
  <c r="E61" i="1"/>
  <c r="D94" i="1"/>
  <c r="R80" i="1"/>
  <c r="H39" i="1"/>
  <c r="F51" i="1"/>
  <c r="Q80" i="1"/>
  <c r="C94" i="1"/>
  <c r="P80" i="1"/>
  <c r="B94" i="1"/>
  <c r="Q94" i="1" l="1"/>
  <c r="C226" i="1"/>
  <c r="O94" i="1"/>
  <c r="C207" i="1"/>
  <c r="D61" i="1"/>
  <c r="F78" i="1"/>
  <c r="B62" i="1"/>
  <c r="B79" i="1" s="1"/>
  <c r="E93" i="1"/>
  <c r="S79" i="1"/>
  <c r="F79" i="1"/>
  <c r="G62" i="1"/>
  <c r="G64" i="1"/>
  <c r="F81" i="1"/>
  <c r="P94" i="1"/>
  <c r="C217" i="1"/>
  <c r="G65" i="1"/>
  <c r="F82" i="1"/>
  <c r="F60" i="1"/>
  <c r="G61" i="1"/>
  <c r="D93" i="1"/>
  <c r="R79" i="1"/>
  <c r="F80" i="1"/>
  <c r="G63" i="1"/>
  <c r="I39" i="1"/>
  <c r="G51" i="1"/>
  <c r="C79" i="1" l="1"/>
  <c r="T78" i="1"/>
  <c r="F92" i="1"/>
  <c r="H61" i="1"/>
  <c r="G78" i="1"/>
  <c r="G81" i="1"/>
  <c r="H64" i="1"/>
  <c r="C61" i="1"/>
  <c r="D78" i="1" s="1"/>
  <c r="G59" i="1"/>
  <c r="H60" i="1"/>
  <c r="E60" i="1"/>
  <c r="G77" i="1"/>
  <c r="G79" i="1"/>
  <c r="H62" i="1"/>
  <c r="E78" i="1"/>
  <c r="H51" i="1"/>
  <c r="J39" i="1"/>
  <c r="G80" i="1"/>
  <c r="H63" i="1"/>
  <c r="H65" i="1"/>
  <c r="G82" i="1"/>
  <c r="R93" i="1"/>
  <c r="C233" i="1"/>
  <c r="C93" i="1"/>
  <c r="Q79" i="1"/>
  <c r="Q93" i="1"/>
  <c r="C225" i="1"/>
  <c r="B93" i="1"/>
  <c r="P79" i="1"/>
  <c r="R78" i="1" l="1"/>
  <c r="D92" i="1"/>
  <c r="O93" i="1"/>
  <c r="C206" i="1"/>
  <c r="I63" i="1"/>
  <c r="H80" i="1"/>
  <c r="D60" i="1"/>
  <c r="E77" i="1" s="1"/>
  <c r="H79" i="1"/>
  <c r="I62" i="1"/>
  <c r="H81" i="1"/>
  <c r="I64" i="1"/>
  <c r="U77" i="1"/>
  <c r="G91" i="1"/>
  <c r="P93" i="1"/>
  <c r="C216" i="1"/>
  <c r="F77" i="1"/>
  <c r="I61" i="1"/>
  <c r="H78" i="1"/>
  <c r="S78" i="1"/>
  <c r="E92" i="1"/>
  <c r="I65" i="1"/>
  <c r="H82" i="1"/>
  <c r="I51" i="1"/>
  <c r="K39" i="1"/>
  <c r="I60" i="1"/>
  <c r="H77" i="1"/>
  <c r="S92" i="1"/>
  <c r="C239" i="1"/>
  <c r="B61" i="1"/>
  <c r="B78" i="1" s="1"/>
  <c r="H58" i="1"/>
  <c r="I59" i="1"/>
  <c r="F59" i="1"/>
  <c r="H76" i="1"/>
  <c r="T77" i="1" l="1"/>
  <c r="F91" i="1"/>
  <c r="I79" i="1"/>
  <c r="J62" i="1"/>
  <c r="J51" i="1"/>
  <c r="K57" i="1" s="1"/>
  <c r="K74" i="1" s="1"/>
  <c r="M74" i="1" s="1"/>
  <c r="K56" i="1"/>
  <c r="G58" i="1"/>
  <c r="H75" i="1" s="1"/>
  <c r="I75" i="1"/>
  <c r="J61" i="1"/>
  <c r="I78" i="1"/>
  <c r="P78" i="1"/>
  <c r="B92" i="1"/>
  <c r="J59" i="1"/>
  <c r="I76" i="1"/>
  <c r="J58" i="1"/>
  <c r="I57" i="1"/>
  <c r="C78" i="1"/>
  <c r="V76" i="1"/>
  <c r="H90" i="1"/>
  <c r="J65" i="1"/>
  <c r="I82" i="1"/>
  <c r="T91" i="1"/>
  <c r="C244" i="1"/>
  <c r="C60" i="1"/>
  <c r="D77" i="1" s="1"/>
  <c r="I81" i="1"/>
  <c r="J64" i="1"/>
  <c r="E59" i="1"/>
  <c r="R92" i="1"/>
  <c r="C232" i="1"/>
  <c r="S77" i="1"/>
  <c r="E91" i="1"/>
  <c r="Q92" i="1"/>
  <c r="C224" i="1"/>
  <c r="J63" i="1"/>
  <c r="I80" i="1"/>
  <c r="G76" i="1"/>
  <c r="J60" i="1"/>
  <c r="I77" i="1"/>
  <c r="V75" i="1" l="1"/>
  <c r="H89" i="1"/>
  <c r="R77" i="1"/>
  <c r="D91" i="1"/>
  <c r="K61" i="1"/>
  <c r="K78" i="1" s="1"/>
  <c r="J78" i="1"/>
  <c r="J82" i="1"/>
  <c r="K65" i="1"/>
  <c r="K82" i="1" s="1"/>
  <c r="K59" i="1"/>
  <c r="K76" i="1" s="1"/>
  <c r="J76" i="1"/>
  <c r="W75" i="1"/>
  <c r="I89" i="1"/>
  <c r="D59" i="1"/>
  <c r="E76" i="1" s="1"/>
  <c r="U90" i="1"/>
  <c r="C248" i="1"/>
  <c r="R91" i="1"/>
  <c r="C231" i="1"/>
  <c r="S91" i="1"/>
  <c r="C238" i="1"/>
  <c r="F58" i="1"/>
  <c r="G75" i="1" s="1"/>
  <c r="K58" i="1"/>
  <c r="K75" i="1" s="1"/>
  <c r="J75" i="1"/>
  <c r="M75" i="1" s="1"/>
  <c r="B26" i="1" s="1"/>
  <c r="K62" i="1"/>
  <c r="K79" i="1" s="1"/>
  <c r="J79" i="1"/>
  <c r="K60" i="1"/>
  <c r="K77" i="1" s="1"/>
  <c r="J77" i="1"/>
  <c r="J56" i="1"/>
  <c r="K73" i="1" s="1"/>
  <c r="U76" i="1"/>
  <c r="G90" i="1"/>
  <c r="Q78" i="1"/>
  <c r="C92" i="1"/>
  <c r="O92" i="1"/>
  <c r="C205" i="1"/>
  <c r="B25" i="1"/>
  <c r="J81" i="1"/>
  <c r="K64" i="1"/>
  <c r="K81" i="1" s="1"/>
  <c r="B60" i="1"/>
  <c r="B77" i="1" s="1"/>
  <c r="K63" i="1"/>
  <c r="K80" i="1" s="1"/>
  <c r="J80" i="1"/>
  <c r="F76" i="1"/>
  <c r="H57" i="1"/>
  <c r="I74" i="1" s="1"/>
  <c r="J74" i="1"/>
  <c r="M79" i="1" l="1"/>
  <c r="B30" i="1" s="1"/>
  <c r="J68" i="1"/>
  <c r="M78" i="1"/>
  <c r="B29" i="1" s="1"/>
  <c r="M77" i="1"/>
  <c r="B28" i="1" s="1"/>
  <c r="M80" i="1"/>
  <c r="B31" i="1" s="1"/>
  <c r="M76" i="1"/>
  <c r="B27" i="1" s="1"/>
  <c r="C77" i="1"/>
  <c r="P92" i="1"/>
  <c r="C215" i="1"/>
  <c r="I56" i="1"/>
  <c r="I68" i="1" s="1"/>
  <c r="P77" i="1"/>
  <c r="B91" i="1"/>
  <c r="J88" i="1"/>
  <c r="X74" i="1"/>
  <c r="M81" i="1"/>
  <c r="B32" i="1" s="1"/>
  <c r="E58" i="1"/>
  <c r="F75" i="1" s="1"/>
  <c r="M82" i="1"/>
  <c r="B33" i="1" s="1"/>
  <c r="Q91" i="1"/>
  <c r="C223" i="1"/>
  <c r="S76" i="1"/>
  <c r="E90" i="1"/>
  <c r="C59" i="1"/>
  <c r="D76" i="1" s="1"/>
  <c r="U89" i="1"/>
  <c r="C247" i="1"/>
  <c r="K87" i="1"/>
  <c r="Y73" i="1"/>
  <c r="U75" i="1"/>
  <c r="G89" i="1"/>
  <c r="I88" i="1"/>
  <c r="W74" i="1"/>
  <c r="G57" i="1"/>
  <c r="H74" i="1" s="1"/>
  <c r="T90" i="1"/>
  <c r="C243" i="1"/>
  <c r="T76" i="1"/>
  <c r="F90" i="1"/>
  <c r="V89" i="1"/>
  <c r="C251" i="1"/>
  <c r="F89" i="1" l="1"/>
  <c r="T75" i="1"/>
  <c r="X87" i="1"/>
  <c r="C254" i="1"/>
  <c r="M84" i="1"/>
  <c r="B34" i="1" s="1"/>
  <c r="H88" i="1"/>
  <c r="V74" i="1"/>
  <c r="D58" i="1"/>
  <c r="E75" i="1" s="1"/>
  <c r="H56" i="1"/>
  <c r="H68" i="1" s="1"/>
  <c r="F57" i="1"/>
  <c r="G74" i="1" s="1"/>
  <c r="R90" i="1"/>
  <c r="C230" i="1"/>
  <c r="J73" i="1"/>
  <c r="R76" i="1"/>
  <c r="D90" i="1"/>
  <c r="V88" i="1"/>
  <c r="C250" i="1"/>
  <c r="B59" i="1"/>
  <c r="B76" i="1" s="1"/>
  <c r="W88" i="1"/>
  <c r="C253" i="1"/>
  <c r="S90" i="1"/>
  <c r="C237" i="1"/>
  <c r="T89" i="1"/>
  <c r="C242" i="1"/>
  <c r="Q77" i="1"/>
  <c r="C91" i="1"/>
  <c r="C204" i="1"/>
  <c r="O91" i="1"/>
  <c r="G88" i="1" l="1"/>
  <c r="U74" i="1"/>
  <c r="U88" i="1"/>
  <c r="C246" i="1"/>
  <c r="G56" i="1"/>
  <c r="E89" i="1"/>
  <c r="S75" i="1"/>
  <c r="C58" i="1"/>
  <c r="D75" i="1" s="1"/>
  <c r="B90" i="1"/>
  <c r="P76" i="1"/>
  <c r="P91" i="1"/>
  <c r="C214" i="1"/>
  <c r="Q90" i="1"/>
  <c r="C222" i="1"/>
  <c r="X73" i="1"/>
  <c r="J87" i="1"/>
  <c r="E57" i="1"/>
  <c r="F74" i="1" s="1"/>
  <c r="C76" i="1"/>
  <c r="I73" i="1"/>
  <c r="S89" i="1"/>
  <c r="C236" i="1"/>
  <c r="W73" i="1" l="1"/>
  <c r="I87" i="1"/>
  <c r="T88" i="1"/>
  <c r="C241" i="1"/>
  <c r="F56" i="1"/>
  <c r="F68" i="1" s="1"/>
  <c r="C90" i="1"/>
  <c r="Q76" i="1"/>
  <c r="T74" i="1"/>
  <c r="F88" i="1"/>
  <c r="R89" i="1"/>
  <c r="C229" i="1"/>
  <c r="C203" i="1"/>
  <c r="O90" i="1"/>
  <c r="D57" i="1"/>
  <c r="E74" i="1" s="1"/>
  <c r="W87" i="1"/>
  <c r="C252" i="1"/>
  <c r="D89" i="1"/>
  <c r="R75" i="1"/>
  <c r="B58" i="1"/>
  <c r="B75" i="1" s="1"/>
  <c r="H73" i="1"/>
  <c r="G68" i="1"/>
  <c r="S88" i="1" l="1"/>
  <c r="C235" i="1"/>
  <c r="Q89" i="1"/>
  <c r="C221" i="1"/>
  <c r="V73" i="1"/>
  <c r="H87" i="1"/>
  <c r="P90" i="1"/>
  <c r="C213" i="1"/>
  <c r="V87" i="1"/>
  <c r="C249" i="1"/>
  <c r="P75" i="1"/>
  <c r="B89" i="1"/>
  <c r="E56" i="1"/>
  <c r="S74" i="1"/>
  <c r="E88" i="1"/>
  <c r="C75" i="1"/>
  <c r="C57" i="1"/>
  <c r="D74" i="1" s="1"/>
  <c r="G73" i="1"/>
  <c r="D56" i="1" l="1"/>
  <c r="D68" i="1" s="1"/>
  <c r="F73" i="1"/>
  <c r="R74" i="1"/>
  <c r="D88" i="1"/>
  <c r="B57" i="1"/>
  <c r="B74" i="1" s="1"/>
  <c r="E68" i="1"/>
  <c r="C245" i="1"/>
  <c r="U87" i="1"/>
  <c r="G87" i="1"/>
  <c r="U73" i="1"/>
  <c r="C228" i="1"/>
  <c r="R88" i="1"/>
  <c r="Q75" i="1"/>
  <c r="C89" i="1"/>
  <c r="O89" i="1"/>
  <c r="C202" i="1"/>
  <c r="E73" i="1" l="1"/>
  <c r="E87" i="1" s="1"/>
  <c r="E209" i="1"/>
  <c r="B110" i="1" s="1"/>
  <c r="B124" i="1" s="1"/>
  <c r="B138" i="1" s="1"/>
  <c r="B157" i="1" s="1"/>
  <c r="B88" i="1"/>
  <c r="P74" i="1"/>
  <c r="T87" i="1"/>
  <c r="C240" i="1"/>
  <c r="C212" i="1"/>
  <c r="P89" i="1"/>
  <c r="F87" i="1"/>
  <c r="T73" i="1"/>
  <c r="Q88" i="1"/>
  <c r="C220" i="1"/>
  <c r="C74" i="1"/>
  <c r="C56" i="1"/>
  <c r="C68" i="1" s="1"/>
  <c r="E251" i="1" l="1"/>
  <c r="I103" i="1" s="1"/>
  <c r="I117" i="1" s="1"/>
  <c r="S73" i="1"/>
  <c r="S87" i="1"/>
  <c r="C234" i="1"/>
  <c r="B56" i="1"/>
  <c r="B73" i="1" s="1"/>
  <c r="R87" i="1"/>
  <c r="C227" i="1"/>
  <c r="E240" i="1" s="1"/>
  <c r="G101" i="1" s="1"/>
  <c r="G115" i="1" s="1"/>
  <c r="D73" i="1"/>
  <c r="Q74" i="1"/>
  <c r="C88" i="1"/>
  <c r="O88" i="1"/>
  <c r="C201" i="1"/>
  <c r="E230" i="1" l="1"/>
  <c r="E104" i="1" s="1"/>
  <c r="E118" i="1" s="1"/>
  <c r="E200" i="1"/>
  <c r="B101" i="1" s="1"/>
  <c r="B115" i="1" s="1"/>
  <c r="B129" i="1" s="1"/>
  <c r="E213" i="1"/>
  <c r="C104" i="1" s="1"/>
  <c r="C118" i="1" s="1"/>
  <c r="E217" i="1"/>
  <c r="C108" i="1" s="1"/>
  <c r="C122" i="1" s="1"/>
  <c r="E237" i="1"/>
  <c r="F104" i="1" s="1"/>
  <c r="F118" i="1" s="1"/>
  <c r="D87" i="1"/>
  <c r="R73" i="1"/>
  <c r="B68" i="1"/>
  <c r="P73" i="1"/>
  <c r="B87" i="1"/>
  <c r="P88" i="1"/>
  <c r="C211" i="1"/>
  <c r="E222" i="1" s="1"/>
  <c r="D104" i="1" s="1"/>
  <c r="D118" i="1" s="1"/>
  <c r="C73" i="1"/>
  <c r="E220" i="1" l="1"/>
  <c r="D102" i="1" s="1"/>
  <c r="D116" i="1" s="1"/>
  <c r="E218" i="1"/>
  <c r="C109" i="1" s="1"/>
  <c r="C123" i="1" s="1"/>
  <c r="E226" i="1"/>
  <c r="D108" i="1" s="1"/>
  <c r="D122" i="1" s="1"/>
  <c r="E235" i="1"/>
  <c r="F102" i="1" s="1"/>
  <c r="F116" i="1" s="1"/>
  <c r="O87" i="1"/>
  <c r="C200" i="1"/>
  <c r="E223" i="1" s="1"/>
  <c r="D105" i="1" s="1"/>
  <c r="D119" i="1" s="1"/>
  <c r="C87" i="1"/>
  <c r="Q73" i="1"/>
  <c r="Z82" i="1" s="1"/>
  <c r="Z83" i="1" s="1"/>
  <c r="Q87" i="1"/>
  <c r="C219" i="1"/>
  <c r="E215" i="1" s="1"/>
  <c r="C106" i="1" s="1"/>
  <c r="C120" i="1" s="1"/>
  <c r="E233" i="1" l="1"/>
  <c r="E107" i="1" s="1"/>
  <c r="E121" i="1" s="1"/>
  <c r="E224" i="1"/>
  <c r="D106" i="1" s="1"/>
  <c r="D120" i="1" s="1"/>
  <c r="E225" i="1"/>
  <c r="D107" i="1" s="1"/>
  <c r="D121" i="1" s="1"/>
  <c r="E232" i="1"/>
  <c r="E106" i="1" s="1"/>
  <c r="E120" i="1" s="1"/>
  <c r="E249" i="1"/>
  <c r="I101" i="1" s="1"/>
  <c r="I115" i="1" s="1"/>
  <c r="E242" i="1"/>
  <c r="G103" i="1" s="1"/>
  <c r="G117" i="1" s="1"/>
  <c r="E243" i="1"/>
  <c r="G104" i="1" s="1"/>
  <c r="G118" i="1" s="1"/>
  <c r="E253" i="1"/>
  <c r="J102" i="1" s="1"/>
  <c r="J116" i="1" s="1"/>
  <c r="E204" i="1"/>
  <c r="B105" i="1" s="1"/>
  <c r="B119" i="1" s="1"/>
  <c r="B133" i="1" s="1"/>
  <c r="E246" i="1"/>
  <c r="H102" i="1" s="1"/>
  <c r="H116" i="1" s="1"/>
  <c r="E236" i="1"/>
  <c r="F103" i="1" s="1"/>
  <c r="F117" i="1" s="1"/>
  <c r="E201" i="1"/>
  <c r="B102" i="1" s="1"/>
  <c r="B116" i="1" s="1"/>
  <c r="B130" i="1" s="1"/>
  <c r="E216" i="1"/>
  <c r="C107" i="1" s="1"/>
  <c r="C121" i="1" s="1"/>
  <c r="E229" i="1"/>
  <c r="E103" i="1" s="1"/>
  <c r="E117" i="1" s="1"/>
  <c r="E241" i="1"/>
  <c r="G102" i="1" s="1"/>
  <c r="G116" i="1" s="1"/>
  <c r="E245" i="1"/>
  <c r="H101" i="1" s="1"/>
  <c r="H115" i="1" s="1"/>
  <c r="E205" i="1"/>
  <c r="B106" i="1" s="1"/>
  <c r="B120" i="1" s="1"/>
  <c r="B134" i="1" s="1"/>
  <c r="C134" i="1" s="1"/>
  <c r="E238" i="1"/>
  <c r="F105" i="1" s="1"/>
  <c r="F119" i="1" s="1"/>
  <c r="E248" i="1"/>
  <c r="H104" i="1" s="1"/>
  <c r="H118" i="1" s="1"/>
  <c r="E208" i="1"/>
  <c r="B109" i="1" s="1"/>
  <c r="B123" i="1" s="1"/>
  <c r="B137" i="1" s="1"/>
  <c r="C137" i="1" s="1"/>
  <c r="C156" i="1" s="1"/>
  <c r="E202" i="1"/>
  <c r="B103" i="1" s="1"/>
  <c r="B117" i="1" s="1"/>
  <c r="B131" i="1" s="1"/>
  <c r="P87" i="1"/>
  <c r="Q98" i="1" s="1"/>
  <c r="I33" i="1" s="1"/>
  <c r="C210" i="1"/>
  <c r="E221" i="1" s="1"/>
  <c r="D103" i="1" s="1"/>
  <c r="D117" i="1" s="1"/>
  <c r="E239" i="1"/>
  <c r="F106" i="1" s="1"/>
  <c r="F120" i="1" s="1"/>
  <c r="E219" i="1"/>
  <c r="D101" i="1" s="1"/>
  <c r="D115" i="1" s="1"/>
  <c r="E203" i="1" l="1"/>
  <c r="B104" i="1" s="1"/>
  <c r="B118" i="1" s="1"/>
  <c r="B132" i="1" s="1"/>
  <c r="C132" i="1" s="1"/>
  <c r="D132" i="1" s="1"/>
  <c r="E132" i="1" s="1"/>
  <c r="F132" i="1" s="1"/>
  <c r="G132" i="1" s="1"/>
  <c r="H132" i="1" s="1"/>
  <c r="H151" i="1" s="1"/>
  <c r="E214" i="1"/>
  <c r="C105" i="1" s="1"/>
  <c r="C119" i="1" s="1"/>
  <c r="C133" i="1" s="1"/>
  <c r="D133" i="1" s="1"/>
  <c r="E206" i="1"/>
  <c r="B107" i="1" s="1"/>
  <c r="B121" i="1" s="1"/>
  <c r="B135" i="1" s="1"/>
  <c r="C135" i="1" s="1"/>
  <c r="D135" i="1" s="1"/>
  <c r="E135" i="1" s="1"/>
  <c r="E154" i="1" s="1"/>
  <c r="E254" i="1"/>
  <c r="K101" i="1" s="1"/>
  <c r="K115" i="1" s="1"/>
  <c r="E250" i="1"/>
  <c r="I102" i="1" s="1"/>
  <c r="I116" i="1" s="1"/>
  <c r="D134" i="1"/>
  <c r="E134" i="1" s="1"/>
  <c r="F134" i="1" s="1"/>
  <c r="F153" i="1" s="1"/>
  <c r="E211" i="1"/>
  <c r="C102" i="1" s="1"/>
  <c r="C116" i="1" s="1"/>
  <c r="C130" i="1" s="1"/>
  <c r="D130" i="1" s="1"/>
  <c r="E212" i="1"/>
  <c r="C103" i="1" s="1"/>
  <c r="C117" i="1" s="1"/>
  <c r="C131" i="1" s="1"/>
  <c r="D131" i="1" s="1"/>
  <c r="E131" i="1" s="1"/>
  <c r="F131" i="1" s="1"/>
  <c r="G131" i="1" s="1"/>
  <c r="E252" i="1"/>
  <c r="J101" i="1" s="1"/>
  <c r="J115" i="1" s="1"/>
  <c r="E227" i="1"/>
  <c r="E101" i="1" s="1"/>
  <c r="E115" i="1" s="1"/>
  <c r="E231" i="1"/>
  <c r="E105" i="1" s="1"/>
  <c r="E119" i="1" s="1"/>
  <c r="C255" i="1"/>
  <c r="E207" i="1"/>
  <c r="B108" i="1" s="1"/>
  <c r="B122" i="1" s="1"/>
  <c r="B136" i="1" s="1"/>
  <c r="C136" i="1" s="1"/>
  <c r="D136" i="1" s="1"/>
  <c r="D155" i="1" s="1"/>
  <c r="E228" i="1"/>
  <c r="E102" i="1" s="1"/>
  <c r="E116" i="1" s="1"/>
  <c r="C257" i="1"/>
  <c r="E234" i="1"/>
  <c r="F101" i="1" s="1"/>
  <c r="F115" i="1" s="1"/>
  <c r="E244" i="1"/>
  <c r="G105" i="1" s="1"/>
  <c r="G119" i="1" s="1"/>
  <c r="C256" i="1"/>
  <c r="E210" i="1"/>
  <c r="C101" i="1" s="1"/>
  <c r="C115" i="1" s="1"/>
  <c r="C129" i="1" s="1"/>
  <c r="D129" i="1" s="1"/>
  <c r="E247" i="1"/>
  <c r="H103" i="1" s="1"/>
  <c r="H117" i="1" s="1"/>
  <c r="E133" i="1" l="1"/>
  <c r="F133" i="1" s="1"/>
  <c r="G133" i="1" s="1"/>
  <c r="G152" i="1" s="1"/>
  <c r="E130" i="1"/>
  <c r="F130" i="1" s="1"/>
  <c r="G130" i="1" s="1"/>
  <c r="H130" i="1" s="1"/>
  <c r="I130" i="1" s="1"/>
  <c r="J130" i="1" s="1"/>
  <c r="J149" i="1" s="1"/>
  <c r="E129" i="1"/>
  <c r="H131" i="1"/>
  <c r="I131" i="1" s="1"/>
  <c r="I150" i="1" s="1"/>
  <c r="B142" i="1"/>
  <c r="C157" i="1" s="1"/>
  <c r="C171" i="1" s="1"/>
  <c r="C142" i="1"/>
  <c r="D142" i="1" l="1"/>
  <c r="E155" i="1" s="1"/>
  <c r="F129" i="1"/>
  <c r="G129" i="1" s="1"/>
  <c r="D157" i="1"/>
  <c r="D156" i="1"/>
  <c r="C185" i="1"/>
  <c r="E157" i="1" l="1"/>
  <c r="E171" i="1" s="1"/>
  <c r="E142" i="1"/>
  <c r="F155" i="1" s="1"/>
  <c r="D171" i="1"/>
  <c r="E156" i="1"/>
  <c r="D170" i="1"/>
  <c r="E169" i="1"/>
  <c r="F142" i="1"/>
  <c r="H129" i="1"/>
  <c r="E185" i="1"/>
  <c r="D185" i="1"/>
  <c r="F154" i="1" l="1"/>
  <c r="G154" i="1" s="1"/>
  <c r="F157" i="1"/>
  <c r="F171" i="1" s="1"/>
  <c r="G155" i="1"/>
  <c r="F169" i="1"/>
  <c r="G142" i="1"/>
  <c r="I129" i="1"/>
  <c r="G153" i="1"/>
  <c r="F156" i="1"/>
  <c r="E170" i="1"/>
  <c r="E183" i="1"/>
  <c r="D184" i="1"/>
  <c r="F183" i="1"/>
  <c r="F185" i="1"/>
  <c r="E184" i="1"/>
  <c r="F168" i="1" l="1"/>
  <c r="G157" i="1"/>
  <c r="G171" i="1" s="1"/>
  <c r="G156" i="1"/>
  <c r="F170" i="1"/>
  <c r="G167" i="1"/>
  <c r="H153" i="1"/>
  <c r="H154" i="1"/>
  <c r="G168" i="1"/>
  <c r="H142" i="1"/>
  <c r="J129" i="1"/>
  <c r="H155" i="1"/>
  <c r="G169" i="1"/>
  <c r="H152" i="1"/>
  <c r="G182" i="1"/>
  <c r="F182" i="1"/>
  <c r="F184" i="1"/>
  <c r="H157" i="1" l="1"/>
  <c r="H171" i="1" s="1"/>
  <c r="I142" i="1"/>
  <c r="K129" i="1"/>
  <c r="I151" i="1"/>
  <c r="I152" i="1"/>
  <c r="H166" i="1"/>
  <c r="H168" i="1"/>
  <c r="I154" i="1"/>
  <c r="H169" i="1"/>
  <c r="I155" i="1"/>
  <c r="H167" i="1"/>
  <c r="I153" i="1"/>
  <c r="G170" i="1"/>
  <c r="H156" i="1"/>
  <c r="H181" i="1"/>
  <c r="G184" i="1"/>
  <c r="G183" i="1"/>
  <c r="H183" i="1"/>
  <c r="G181" i="1"/>
  <c r="G185" i="1"/>
  <c r="H185" i="1"/>
  <c r="I157" i="1" l="1"/>
  <c r="I171" i="1" s="1"/>
  <c r="J155" i="1"/>
  <c r="I169" i="1"/>
  <c r="J152" i="1"/>
  <c r="I166" i="1"/>
  <c r="J151" i="1"/>
  <c r="I165" i="1"/>
  <c r="I168" i="1"/>
  <c r="J154" i="1"/>
  <c r="H170" i="1"/>
  <c r="I156" i="1"/>
  <c r="J142" i="1"/>
  <c r="K148" i="1"/>
  <c r="J153" i="1"/>
  <c r="I167" i="1"/>
  <c r="J150" i="1"/>
  <c r="H182" i="1"/>
  <c r="H184" i="1"/>
  <c r="H180" i="1"/>
  <c r="I181" i="1"/>
  <c r="I182" i="1"/>
  <c r="I180" i="1"/>
  <c r="I183" i="1"/>
  <c r="J157" i="1" l="1"/>
  <c r="K157" i="1" s="1"/>
  <c r="K171" i="1" s="1"/>
  <c r="K155" i="1"/>
  <c r="K169" i="1" s="1"/>
  <c r="J169" i="1"/>
  <c r="K152" i="1"/>
  <c r="K166" i="1" s="1"/>
  <c r="J166" i="1"/>
  <c r="K154" i="1"/>
  <c r="K168" i="1" s="1"/>
  <c r="J168" i="1"/>
  <c r="K150" i="1"/>
  <c r="K164" i="1" s="1"/>
  <c r="J164" i="1"/>
  <c r="J156" i="1"/>
  <c r="I170" i="1"/>
  <c r="J167" i="1"/>
  <c r="K153" i="1"/>
  <c r="K167" i="1" s="1"/>
  <c r="J143" i="1"/>
  <c r="I143" i="1" s="1"/>
  <c r="H143" i="1" s="1"/>
  <c r="G143" i="1" s="1"/>
  <c r="F143" i="1" s="1"/>
  <c r="E143" i="1" s="1"/>
  <c r="D143" i="1" s="1"/>
  <c r="C143" i="1" s="1"/>
  <c r="B143" i="1" s="1"/>
  <c r="K149" i="1"/>
  <c r="K163" i="1" s="1"/>
  <c r="J165" i="1"/>
  <c r="K151" i="1"/>
  <c r="K165" i="1" s="1"/>
  <c r="I184" i="1"/>
  <c r="K178" i="1"/>
  <c r="K179" i="1"/>
  <c r="K185" i="1"/>
  <c r="I179" i="1"/>
  <c r="K183" i="1"/>
  <c r="K181" i="1"/>
  <c r="I185" i="1"/>
  <c r="K182" i="1"/>
  <c r="J179" i="1"/>
  <c r="K180" i="1"/>
  <c r="J171" i="1" l="1"/>
  <c r="M171" i="1" s="1"/>
  <c r="M179" i="1"/>
  <c r="D189" i="1" s="1"/>
  <c r="M165" i="1"/>
  <c r="M169" i="1"/>
  <c r="M168" i="1"/>
  <c r="M164" i="1"/>
  <c r="M167" i="1"/>
  <c r="M163" i="1"/>
  <c r="J170" i="1"/>
  <c r="K156" i="1"/>
  <c r="K170" i="1" s="1"/>
  <c r="M166" i="1"/>
  <c r="J183" i="1"/>
  <c r="J184" i="1"/>
  <c r="J178" i="1"/>
  <c r="J181" i="1"/>
  <c r="J180" i="1"/>
  <c r="J182" i="1"/>
  <c r="K177" i="1"/>
  <c r="M177" i="1" l="1"/>
  <c r="B189" i="1" s="1"/>
  <c r="M183" i="1"/>
  <c r="H189" i="1" s="1"/>
  <c r="M182" i="1"/>
  <c r="G189" i="1" s="1"/>
  <c r="M181" i="1"/>
  <c r="F189" i="1" s="1"/>
  <c r="M180" i="1"/>
  <c r="E189" i="1" s="1"/>
  <c r="M178" i="1"/>
  <c r="C189" i="1" s="1"/>
  <c r="M170" i="1"/>
  <c r="M172" i="1" s="1"/>
  <c r="J185" i="1"/>
  <c r="K184" i="1"/>
  <c r="M185" i="1" l="1"/>
  <c r="J189" i="1" s="1"/>
  <c r="M184" i="1"/>
  <c r="I189" i="1" s="1"/>
  <c r="M186" i="1" l="1"/>
  <c r="K189" i="1" s="1"/>
</calcChain>
</file>

<file path=xl/sharedStrings.xml><?xml version="1.0" encoding="utf-8"?>
<sst xmlns="http://schemas.openxmlformats.org/spreadsheetml/2006/main" count="95" uniqueCount="70">
  <si>
    <t>Development Factors</t>
  </si>
  <si>
    <t>Reserve</t>
  </si>
  <si>
    <t>Deviance Contribution</t>
  </si>
  <si>
    <t>Deviance</t>
  </si>
  <si>
    <t>Dispersion</t>
  </si>
  <si>
    <t>Total</t>
  </si>
  <si>
    <t>Contribution to Pearson Chisquared</t>
  </si>
  <si>
    <t>Pearson Chi-squared</t>
  </si>
  <si>
    <t>Deviance Contribution (resampled data)</t>
  </si>
  <si>
    <t>Resampled Development Factors</t>
  </si>
  <si>
    <t>Resampled</t>
  </si>
  <si>
    <t>Pearson Chi-squared Dispersion</t>
  </si>
  <si>
    <t>Pearson</t>
  </si>
  <si>
    <t>Mean</t>
  </si>
  <si>
    <t>SD</t>
  </si>
  <si>
    <t>Index</t>
  </si>
  <si>
    <t>Residual</t>
  </si>
  <si>
    <t>Random</t>
  </si>
  <si>
    <t>Actual</t>
  </si>
  <si>
    <t>Bootstrap</t>
  </si>
  <si>
    <t>Prediction</t>
  </si>
  <si>
    <t>Error</t>
  </si>
  <si>
    <t>Error %</t>
  </si>
  <si>
    <t>-</t>
  </si>
  <si>
    <t>Number of Simulations</t>
  </si>
  <si>
    <t>Number of Observations</t>
  </si>
  <si>
    <t>Number of Parameters</t>
  </si>
  <si>
    <t>Degrees of Freedom</t>
  </si>
  <si>
    <t>SD%</t>
  </si>
  <si>
    <t>Year</t>
  </si>
  <si>
    <t>Ex1data</t>
  </si>
  <si>
    <t>Skewness</t>
  </si>
  <si>
    <t>Save Bootstrap Sample?</t>
  </si>
  <si>
    <t>Ex2data</t>
  </si>
  <si>
    <t>MackData</t>
  </si>
  <si>
    <t>Development Factors (calculated from fitted values)</t>
  </si>
  <si>
    <t>Bootstrap Calculations (required for VB code)</t>
  </si>
  <si>
    <t>Bootstrap Results</t>
  </si>
  <si>
    <t>Triangle 1 - Observed Cumulative Data</t>
  </si>
  <si>
    <t>Triangle 2 - Fitted Cumulative</t>
  </si>
  <si>
    <t>Triangle 3 - Fitted Incremental</t>
  </si>
  <si>
    <t>Triangle 4 - Pearson Residuals</t>
  </si>
  <si>
    <t>Triangle 6 - Resampled Incremental Observed (Pearson)</t>
  </si>
  <si>
    <t>Triangle 7 - Resampled Cumulative Observed</t>
  </si>
  <si>
    <t>Triangle 5 - Resampled Residuals (press F9 to resample once)</t>
  </si>
  <si>
    <t>Triangle 8 - Forecast Cumulative Observed</t>
  </si>
  <si>
    <t>Reserve 1</t>
  </si>
  <si>
    <t>Triangle 9 - Forecast Incremental Observed (excluding process error)</t>
  </si>
  <si>
    <t>Triangle 9 - Forecast Incremental Observed (including process error)</t>
  </si>
  <si>
    <t>Reserve 2</t>
  </si>
  <si>
    <t>Rescaled</t>
  </si>
  <si>
    <t>(1= Poisson, 2=Gamma)</t>
  </si>
  <si>
    <t>Distribution for 2nd stage</t>
  </si>
  <si>
    <t>TRUE</t>
  </si>
  <si>
    <t>TOTAL</t>
  </si>
  <si>
    <t>CVaR</t>
  </si>
  <si>
    <t>VaR</t>
  </si>
  <si>
    <t>Sigma</t>
  </si>
  <si>
    <t>CV</t>
  </si>
  <si>
    <t>Quantile</t>
  </si>
  <si>
    <t>n</t>
  </si>
  <si>
    <t>RA</t>
  </si>
  <si>
    <t>%</t>
  </si>
  <si>
    <t>Cout du capital</t>
  </si>
  <si>
    <t>Marge Tunisienne</t>
  </si>
  <si>
    <t>Facteur</t>
  </si>
  <si>
    <t>Duration</t>
  </si>
  <si>
    <t>SCR</t>
  </si>
  <si>
    <t>RA%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</si>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</sst>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0"/>
    <numFmt numFmtId="166" formatCode="0.0%"/>
  </numFmts>
  <fonts count="6" x14ac:knownFonts="1">
    <font>
      <sz val="12"/>
      <name val="Times New Roman"/>
    </font>
    <font>
      <sz val="12"/>
      <name val="Times New Roman"/>
      <family val="1"/>
    </font>
    <font>
      <b/>
      <sz val="12"/>
      <name val="Times New Roman"/>
      <family val="1"/>
    </font>
    <font>
      <sz val="12"/>
      <color indexed="10"/>
      <name val="Times New Roman"/>
      <family val="1"/>
    </font>
    <font>
      <sz val="10"/>
      <color indexed="8"/>
      <name val="Times New Roman"/>
      <family val="1"/>
    </font>
    <font>
      <b/>
      <sz val="12"/>
      <color theme="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0" fillId="0" borderId="0" xfId="0" applyBorder="1" applyAlignment="1">
      <alignment horizontal="centerContinuous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0" xfId="0" applyNumberFormat="1" applyBorder="1"/>
    <xf numFmtId="11" fontId="0" fillId="0" borderId="0" xfId="0" applyNumberFormat="1" applyAlignment="1">
      <alignment horizontal="right"/>
    </xf>
    <xf numFmtId="164" fontId="0" fillId="0" borderId="0" xfId="1" applyNumberFormat="1" applyFont="1"/>
    <xf numFmtId="3" fontId="0" fillId="0" borderId="0" xfId="0" applyNumberFormat="1"/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1" fontId="0" fillId="0" borderId="7" xfId="0" applyNumberFormat="1" applyBorder="1" applyAlignment="1">
      <alignment horizontal="center"/>
    </xf>
    <xf numFmtId="9" fontId="0" fillId="0" borderId="8" xfId="2" applyFont="1" applyBorder="1" applyAlignment="1">
      <alignment horizontal="center"/>
    </xf>
    <xf numFmtId="0" fontId="2" fillId="0" borderId="0" xfId="0" applyFont="1"/>
    <xf numFmtId="1" fontId="0" fillId="0" borderId="0" xfId="0" applyNumberFormat="1" applyBorder="1" applyAlignment="1">
      <alignment horizontal="right"/>
    </xf>
    <xf numFmtId="0" fontId="3" fillId="0" borderId="0" xfId="0" applyFont="1"/>
    <xf numFmtId="1" fontId="3" fillId="0" borderId="0" xfId="0" applyNumberFormat="1" applyFon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165" fontId="0" fillId="0" borderId="0" xfId="0" applyNumberFormat="1"/>
    <xf numFmtId="1" fontId="0" fillId="2" borderId="0" xfId="0" applyNumberFormat="1" applyFill="1"/>
    <xf numFmtId="166" fontId="0" fillId="2" borderId="0" xfId="2" applyNumberFormat="1" applyFont="1" applyFill="1"/>
    <xf numFmtId="0" fontId="0" fillId="0" borderId="2" xfId="0" applyBorder="1"/>
    <xf numFmtId="1" fontId="0" fillId="0" borderId="0" xfId="0" applyNumberFormat="1" applyFill="1"/>
    <xf numFmtId="0" fontId="0" fillId="0" borderId="0" xfId="0" applyFill="1"/>
    <xf numFmtId="166" fontId="0" fillId="0" borderId="0" xfId="2" applyNumberFormat="1" applyFont="1" applyFill="1"/>
    <xf numFmtId="1" fontId="3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9" fontId="0" fillId="0" borderId="11" xfId="2" applyNumberFormat="1" applyFont="1" applyBorder="1" applyAlignment="1">
      <alignment horizontal="center"/>
    </xf>
    <xf numFmtId="9" fontId="0" fillId="0" borderId="0" xfId="2" applyNumberFormat="1" applyFont="1" applyBorder="1" applyAlignment="1">
      <alignment horizontal="center"/>
    </xf>
    <xf numFmtId="1" fontId="0" fillId="0" borderId="3" xfId="0" applyNumberFormat="1" applyBorder="1"/>
    <xf numFmtId="1" fontId="0" fillId="0" borderId="6" xfId="0" applyNumberFormat="1" applyBorder="1"/>
    <xf numFmtId="1" fontId="0" fillId="0" borderId="12" xfId="0" applyNumberFormat="1" applyBorder="1"/>
    <xf numFmtId="1" fontId="0" fillId="0" borderId="5" xfId="0" applyNumberFormat="1" applyBorder="1"/>
    <xf numFmtId="1" fontId="0" fillId="0" borderId="0" xfId="0" applyNumberFormat="1" applyFill="1" applyBorder="1"/>
    <xf numFmtId="0" fontId="0" fillId="0" borderId="0" xfId="0" applyFill="1" applyAlignment="1">
      <alignment horizontal="right"/>
    </xf>
    <xf numFmtId="3" fontId="4" fillId="3" borderId="13" xfId="0" applyNumberFormat="1" applyFont="1" applyFill="1" applyBorder="1" applyAlignment="1">
      <alignment horizontal="center"/>
    </xf>
    <xf numFmtId="3" fontId="4" fillId="3" borderId="0" xfId="0" applyNumberFormat="1" applyFont="1" applyFill="1" applyBorder="1" applyAlignment="1">
      <alignment horizontal="center"/>
    </xf>
    <xf numFmtId="3" fontId="4" fillId="3" borderId="14" xfId="0" applyNumberFormat="1" applyFont="1" applyFill="1" applyBorder="1" applyAlignment="1">
      <alignment horizontal="center"/>
    </xf>
    <xf numFmtId="3" fontId="4" fillId="3" borderId="15" xfId="0" applyNumberFormat="1" applyFont="1" applyFill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3" fontId="0" fillId="0" borderId="16" xfId="0" applyNumberFormat="1" applyBorder="1"/>
    <xf numFmtId="0" fontId="2" fillId="4" borderId="16" xfId="0" applyFont="1" applyFill="1" applyBorder="1"/>
    <xf numFmtId="0" fontId="5" fillId="5" borderId="16" xfId="0" applyFont="1" applyFill="1" applyBorder="1"/>
    <xf numFmtId="1" fontId="0" fillId="0" borderId="16" xfId="0" applyNumberFormat="1" applyBorder="1" applyAlignment="1">
      <alignment horizontal="center"/>
    </xf>
    <xf numFmtId="3" fontId="0" fillId="0" borderId="16" xfId="0" applyNumberFormat="1" applyBorder="1" applyAlignment="1">
      <alignment horizontal="center"/>
    </xf>
    <xf numFmtId="9" fontId="0" fillId="0" borderId="16" xfId="2" applyFont="1" applyBorder="1" applyAlignment="1">
      <alignment horizontal="center"/>
    </xf>
    <xf numFmtId="0" fontId="1" fillId="0" borderId="0" xfId="0" applyFont="1"/>
    <xf numFmtId="0" fontId="2" fillId="0" borderId="16" xfId="0" applyFont="1" applyBorder="1" applyAlignment="1">
      <alignment horizontal="center"/>
    </xf>
    <xf numFmtId="1" fontId="2" fillId="0" borderId="16" xfId="0" applyNumberFormat="1" applyFont="1" applyBorder="1" applyAlignment="1">
      <alignment horizontal="center"/>
    </xf>
    <xf numFmtId="3" fontId="2" fillId="0" borderId="16" xfId="0" applyNumberFormat="1" applyFont="1" applyBorder="1" applyAlignment="1">
      <alignment horizontal="center"/>
    </xf>
    <xf numFmtId="10" fontId="0" fillId="6" borderId="16" xfId="0" applyNumberFormat="1" applyFill="1" applyBorder="1"/>
    <xf numFmtId="0" fontId="5" fillId="8" borderId="16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/>
    </xf>
    <xf numFmtId="10" fontId="2" fillId="6" borderId="16" xfId="0" applyNumberFormat="1" applyFont="1" applyFill="1" applyBorder="1"/>
    <xf numFmtId="10" fontId="2" fillId="9" borderId="16" xfId="0" applyNumberFormat="1" applyFont="1" applyFill="1" applyBorder="1"/>
    <xf numFmtId="2" fontId="2" fillId="9" borderId="16" xfId="0" applyNumberFormat="1" applyFont="1" applyFill="1" applyBorder="1"/>
    <xf numFmtId="9" fontId="2" fillId="6" borderId="16" xfId="2" applyFont="1" applyFill="1" applyBorder="1" applyAlignment="1">
      <alignment horizontal="center"/>
    </xf>
    <xf numFmtId="9" fontId="0" fillId="6" borderId="16" xfId="2" applyFont="1" applyFill="1" applyBorder="1" applyAlignment="1">
      <alignment horizontal="center"/>
    </xf>
    <xf numFmtId="10" fontId="2" fillId="10" borderId="16" xfId="0" applyNumberFormat="1" applyFont="1" applyFill="1" applyBorder="1"/>
    <xf numFmtId="9" fontId="0" fillId="0" borderId="16" xfId="2" applyFont="1" applyBorder="1"/>
    <xf numFmtId="43" fontId="0" fillId="0" borderId="0" xfId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863600</xdr:colOff>
          <xdr:row>21</xdr:row>
          <xdr:rowOff>0</xdr:rowOff>
        </xdr:from>
        <xdr:to>
          <xdr:col>7</xdr:col>
          <xdr:colOff>273050</xdr:colOff>
          <xdr:row>23</xdr:row>
          <xdr:rowOff>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651934</xdr:colOff>
      <xdr:row>14</xdr:row>
      <xdr:rowOff>76200</xdr:rowOff>
    </xdr:from>
    <xdr:to>
      <xdr:col>26</xdr:col>
      <xdr:colOff>460077</xdr:colOff>
      <xdr:row>19</xdr:row>
      <xdr:rowOff>73963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57534" y="2802467"/>
          <a:ext cx="2390476" cy="9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257"/>
  <sheetViews>
    <sheetView tabSelected="1" topLeftCell="P13" zoomScaleNormal="100" workbookViewId="0">
      <selection activeCell="AB29" sqref="AB29"/>
    </sheetView>
  </sheetViews>
  <sheetFormatPr baseColWidth="10" defaultRowHeight="15.5" x14ac:dyDescent="0.35"/>
  <cols>
    <col min="1" max="1" width="12" customWidth="1"/>
    <col min="2" max="5" width="13.08203125" customWidth="1"/>
    <col min="6" max="8" width="14" bestFit="1" customWidth="1"/>
    <col min="9" max="9" width="11.5" customWidth="1"/>
    <col min="10" max="11" width="14" bestFit="1" customWidth="1"/>
    <col min="12" max="12" width="9.33203125" customWidth="1"/>
    <col min="13" max="13" width="11.08203125" bestFit="1" customWidth="1"/>
    <col min="14" max="14" width="10.08203125" bestFit="1" customWidth="1"/>
    <col min="15" max="15" width="9.58203125" bestFit="1" customWidth="1"/>
    <col min="16" max="16" width="11.08203125" bestFit="1" customWidth="1"/>
    <col min="17" max="19" width="12" bestFit="1" customWidth="1"/>
    <col min="20" max="20" width="10.58203125" bestFit="1" customWidth="1"/>
    <col min="21" max="23" width="8.6640625" customWidth="1"/>
    <col min="24" max="24" width="16.5" bestFit="1" customWidth="1"/>
    <col min="25" max="26" width="8.6640625" customWidth="1"/>
    <col min="27" max="27" width="14.4140625" bestFit="1" customWidth="1"/>
    <col min="28" max="256" width="8.6640625" customWidth="1"/>
  </cols>
  <sheetData>
    <row r="1" spans="1:11" x14ac:dyDescent="0.35">
      <c r="B1" s="16"/>
    </row>
    <row r="2" spans="1:11" x14ac:dyDescent="0.35">
      <c r="B2" s="16"/>
    </row>
    <row r="3" spans="1:11" x14ac:dyDescent="0.35">
      <c r="B3" s="16"/>
    </row>
    <row r="5" spans="1:11" x14ac:dyDescent="0.35">
      <c r="B5" s="16"/>
    </row>
    <row r="7" spans="1:11" x14ac:dyDescent="0.35">
      <c r="B7" s="16"/>
    </row>
    <row r="8" spans="1:11" x14ac:dyDescent="0.35">
      <c r="B8" s="49">
        <v>0</v>
      </c>
      <c r="C8" s="49">
        <v>1</v>
      </c>
      <c r="D8" s="49">
        <v>2</v>
      </c>
      <c r="E8" s="49">
        <v>3</v>
      </c>
      <c r="F8" s="49">
        <v>4</v>
      </c>
      <c r="G8" s="49">
        <v>5</v>
      </c>
      <c r="H8" s="49">
        <v>6</v>
      </c>
      <c r="I8" s="49">
        <v>7</v>
      </c>
      <c r="J8" s="49">
        <v>8</v>
      </c>
      <c r="K8" s="49">
        <v>9</v>
      </c>
    </row>
    <row r="9" spans="1:11" x14ac:dyDescent="0.35">
      <c r="A9" s="50">
        <v>2012</v>
      </c>
      <c r="B9" s="48">
        <v>19837240</v>
      </c>
      <c r="C9" s="48">
        <v>4897203</v>
      </c>
      <c r="D9" s="48">
        <v>38073</v>
      </c>
      <c r="E9" s="48">
        <v>17462</v>
      </c>
      <c r="F9" s="48">
        <v>10378</v>
      </c>
      <c r="G9" s="48">
        <v>1540</v>
      </c>
      <c r="H9" s="48">
        <v>1082</v>
      </c>
      <c r="I9" s="48">
        <v>717</v>
      </c>
      <c r="J9" s="48">
        <v>1235</v>
      </c>
      <c r="K9" s="48">
        <v>1019</v>
      </c>
    </row>
    <row r="10" spans="1:11" x14ac:dyDescent="0.35">
      <c r="A10" s="50">
        <v>2013</v>
      </c>
      <c r="B10" s="48">
        <v>24195052</v>
      </c>
      <c r="C10" s="48">
        <v>5881415</v>
      </c>
      <c r="D10" s="48">
        <v>209135</v>
      </c>
      <c r="E10" s="48">
        <v>38245</v>
      </c>
      <c r="F10" s="48">
        <v>4828</v>
      </c>
      <c r="G10" s="48">
        <v>2282</v>
      </c>
      <c r="H10" s="48">
        <v>1111</v>
      </c>
      <c r="I10" s="48">
        <v>1064</v>
      </c>
      <c r="J10" s="48">
        <v>1104</v>
      </c>
      <c r="K10" s="48">
        <v>0</v>
      </c>
    </row>
    <row r="11" spans="1:11" x14ac:dyDescent="0.35">
      <c r="A11" s="50">
        <v>2014</v>
      </c>
      <c r="B11" s="48">
        <v>23206289</v>
      </c>
      <c r="C11" s="48">
        <v>5460967</v>
      </c>
      <c r="D11" s="48">
        <v>235140</v>
      </c>
      <c r="E11" s="48">
        <v>103397</v>
      </c>
      <c r="F11" s="48">
        <v>23059</v>
      </c>
      <c r="G11" s="48">
        <v>2058</v>
      </c>
      <c r="H11" s="48">
        <v>1120</v>
      </c>
      <c r="I11" s="48">
        <v>2032</v>
      </c>
      <c r="J11" s="48">
        <v>0</v>
      </c>
      <c r="K11" s="48">
        <v>0</v>
      </c>
    </row>
    <row r="12" spans="1:11" x14ac:dyDescent="0.35">
      <c r="A12" s="50">
        <v>2015</v>
      </c>
      <c r="B12" s="48">
        <v>23599114</v>
      </c>
      <c r="C12" s="48">
        <v>5405869</v>
      </c>
      <c r="D12" s="48">
        <v>300463</v>
      </c>
      <c r="E12" s="48">
        <v>100550</v>
      </c>
      <c r="F12" s="48">
        <v>1774</v>
      </c>
      <c r="G12" s="48">
        <v>5200</v>
      </c>
      <c r="H12" s="48">
        <v>1670</v>
      </c>
      <c r="I12" s="48">
        <v>0</v>
      </c>
      <c r="J12" s="48">
        <v>0</v>
      </c>
      <c r="K12" s="48">
        <v>0</v>
      </c>
    </row>
    <row r="13" spans="1:11" x14ac:dyDescent="0.35">
      <c r="A13" s="50">
        <v>2016</v>
      </c>
      <c r="B13" s="48">
        <v>23062198</v>
      </c>
      <c r="C13" s="48">
        <v>5893254</v>
      </c>
      <c r="D13" s="48">
        <v>441228</v>
      </c>
      <c r="E13" s="48">
        <v>23641</v>
      </c>
      <c r="F13" s="48">
        <v>2282</v>
      </c>
      <c r="G13" s="48">
        <v>6464</v>
      </c>
      <c r="H13" s="48">
        <v>0</v>
      </c>
      <c r="I13" s="48">
        <v>0</v>
      </c>
      <c r="J13" s="48">
        <v>0</v>
      </c>
      <c r="K13" s="48">
        <v>0</v>
      </c>
    </row>
    <row r="14" spans="1:11" x14ac:dyDescent="0.35">
      <c r="A14" s="50">
        <v>2017</v>
      </c>
      <c r="B14" s="48">
        <v>26504900</v>
      </c>
      <c r="C14" s="48">
        <v>6151469</v>
      </c>
      <c r="D14" s="48">
        <v>342872</v>
      </c>
      <c r="E14" s="48">
        <v>33710</v>
      </c>
      <c r="F14" s="48">
        <v>1156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</row>
    <row r="15" spans="1:11" x14ac:dyDescent="0.35">
      <c r="A15" s="50">
        <v>2018</v>
      </c>
      <c r="B15" s="48">
        <v>27905232</v>
      </c>
      <c r="C15" s="48">
        <v>7028654</v>
      </c>
      <c r="D15" s="48">
        <v>392873</v>
      </c>
      <c r="E15" s="48">
        <v>18878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</row>
    <row r="16" spans="1:11" x14ac:dyDescent="0.35">
      <c r="A16" s="50">
        <v>2019</v>
      </c>
      <c r="B16" s="48">
        <v>30240045</v>
      </c>
      <c r="C16" s="48">
        <v>6713548</v>
      </c>
      <c r="D16" s="48">
        <v>117711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</row>
    <row r="17" spans="1:28" x14ac:dyDescent="0.35">
      <c r="A17" s="50">
        <v>2020</v>
      </c>
      <c r="B17" s="48">
        <v>30303763</v>
      </c>
      <c r="C17" s="48">
        <v>6100644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</row>
    <row r="18" spans="1:28" x14ac:dyDescent="0.35">
      <c r="A18" s="50">
        <v>2021</v>
      </c>
      <c r="B18" s="48">
        <v>29373189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</row>
    <row r="19" spans="1:28" x14ac:dyDescent="0.35">
      <c r="B19" s="18"/>
      <c r="C19" s="18"/>
      <c r="D19" s="18"/>
      <c r="E19" s="18"/>
      <c r="F19" s="18"/>
      <c r="G19" s="18"/>
      <c r="H19" s="18"/>
      <c r="I19" s="18"/>
      <c r="J19" s="18"/>
      <c r="K19" s="18"/>
    </row>
    <row r="20" spans="1:28" x14ac:dyDescent="0.35">
      <c r="B20" s="16" t="s">
        <v>37</v>
      </c>
    </row>
    <row r="21" spans="1:28" x14ac:dyDescent="0.35">
      <c r="K21" s="50" t="s">
        <v>59</v>
      </c>
      <c r="L21" s="58">
        <v>0.9</v>
      </c>
      <c r="X21" s="50" t="s">
        <v>63</v>
      </c>
      <c r="Y21" s="66">
        <v>0.15</v>
      </c>
      <c r="AA21" s="50" t="s">
        <v>63</v>
      </c>
      <c r="AB21" s="66">
        <v>0.15</v>
      </c>
    </row>
    <row r="22" spans="1:28" x14ac:dyDescent="0.35">
      <c r="A22" s="16"/>
      <c r="B22" s="20" t="s">
        <v>18</v>
      </c>
      <c r="C22" s="21" t="s">
        <v>19</v>
      </c>
      <c r="D22" s="21" t="s">
        <v>20</v>
      </c>
      <c r="E22" s="22" t="s">
        <v>20</v>
      </c>
      <c r="F22" s="3"/>
      <c r="G22" s="3"/>
      <c r="H22" s="3"/>
      <c r="L22" s="16"/>
      <c r="M22" s="55" t="s">
        <v>13</v>
      </c>
      <c r="N22" s="55" t="s">
        <v>57</v>
      </c>
      <c r="O22" s="55" t="s">
        <v>58</v>
      </c>
      <c r="P22" s="59" t="s">
        <v>56</v>
      </c>
      <c r="Q22" s="55" t="s">
        <v>61</v>
      </c>
      <c r="R22" s="55" t="s">
        <v>61</v>
      </c>
      <c r="S22" s="60" t="s">
        <v>55</v>
      </c>
      <c r="T22" s="55" t="s">
        <v>61</v>
      </c>
      <c r="U22" s="55" t="s">
        <v>61</v>
      </c>
    </row>
    <row r="23" spans="1:28" x14ac:dyDescent="0.35">
      <c r="A23" s="16"/>
      <c r="B23" s="4" t="s">
        <v>1</v>
      </c>
      <c r="C23" s="5" t="s">
        <v>13</v>
      </c>
      <c r="D23" s="5" t="s">
        <v>21</v>
      </c>
      <c r="E23" s="13" t="s">
        <v>22</v>
      </c>
      <c r="F23" s="3"/>
      <c r="G23" s="3"/>
      <c r="H23" s="12"/>
      <c r="L23" s="16"/>
      <c r="M23" s="55" t="s">
        <v>1</v>
      </c>
      <c r="N23" s="55" t="s">
        <v>1</v>
      </c>
      <c r="O23" s="55" t="s">
        <v>1</v>
      </c>
      <c r="P23" s="55" t="s">
        <v>1</v>
      </c>
      <c r="Q23" s="55" t="s">
        <v>1</v>
      </c>
      <c r="R23" s="55" t="s">
        <v>62</v>
      </c>
      <c r="S23" s="55" t="s">
        <v>1</v>
      </c>
      <c r="T23" s="55" t="s">
        <v>1</v>
      </c>
      <c r="U23" s="55" t="s">
        <v>62</v>
      </c>
      <c r="X23" s="50" t="s">
        <v>64</v>
      </c>
      <c r="Y23" s="62">
        <v>0.25</v>
      </c>
      <c r="AA23" s="50" t="s">
        <v>65</v>
      </c>
      <c r="AB23" s="62">
        <v>0.05</v>
      </c>
    </row>
    <row r="24" spans="1:28" x14ac:dyDescent="0.35">
      <c r="A24" s="50">
        <v>2012</v>
      </c>
      <c r="B24" s="6">
        <f>M73</f>
        <v>0</v>
      </c>
      <c r="C24" s="7">
        <v>0</v>
      </c>
      <c r="D24" s="7">
        <v>0</v>
      </c>
      <c r="E24" s="14" t="s">
        <v>23</v>
      </c>
      <c r="F24" s="12"/>
      <c r="G24" s="12"/>
      <c r="H24" s="12"/>
      <c r="L24" s="50">
        <v>2012</v>
      </c>
      <c r="M24" s="56">
        <f>C24</f>
        <v>0</v>
      </c>
      <c r="N24" s="51">
        <f>D24</f>
        <v>0</v>
      </c>
      <c r="O24" s="51">
        <v>0</v>
      </c>
      <c r="P24" s="51">
        <v>0</v>
      </c>
      <c r="Q24" s="51">
        <v>0</v>
      </c>
      <c r="R24" s="51">
        <v>0</v>
      </c>
      <c r="S24" s="51">
        <v>0</v>
      </c>
      <c r="T24" s="51">
        <v>0</v>
      </c>
      <c r="U24" s="51">
        <v>0</v>
      </c>
    </row>
    <row r="25" spans="1:28" x14ac:dyDescent="0.35">
      <c r="A25" s="50">
        <v>2013</v>
      </c>
      <c r="B25" s="44">
        <f t="shared" ref="B25:B33" si="0">M74</f>
        <v>1246.1468943469226</v>
      </c>
      <c r="C25" s="45">
        <f>B190</f>
        <v>1276.4909027996878</v>
      </c>
      <c r="D25" s="45">
        <f>B191</f>
        <v>14164.738786649563</v>
      </c>
      <c r="E25" s="15">
        <f>D25/C25</f>
        <v>11.09662337238948</v>
      </c>
      <c r="F25" s="7"/>
      <c r="K25" s="2"/>
      <c r="L25" s="50">
        <v>2013</v>
      </c>
      <c r="M25" s="57">
        <f t="shared" ref="M25:M34" si="1">C25</f>
        <v>1276.4909027996878</v>
      </c>
      <c r="N25" s="52">
        <f t="shared" ref="N25:N34" si="2">D25</f>
        <v>14164.738786649563</v>
      </c>
      <c r="O25" s="53">
        <f>N25/M25</f>
        <v>11.09662337238948</v>
      </c>
      <c r="P25" s="52">
        <f>VLOOKUP(N39,SAMPLE!A:K,2,FALSE)</f>
        <v>8691.7939963000063</v>
      </c>
      <c r="Q25" s="52">
        <f>P25-M25</f>
        <v>7415.3030935003189</v>
      </c>
      <c r="R25" s="53">
        <f>Q25/M25</f>
        <v>5.8091311714298675</v>
      </c>
      <c r="S25" s="52">
        <f>AVERAGEIF(SAMPLE!A:A,"&gt;="&amp;$N$39,SAMPLE!B:B)</f>
        <v>28983.497690414039</v>
      </c>
      <c r="T25" s="52">
        <f t="shared" ref="T25:T34" si="3">S25-M25</f>
        <v>27707.006787614351</v>
      </c>
      <c r="U25" s="53">
        <f>T25/M25</f>
        <v>21.705604581157168</v>
      </c>
      <c r="X25" s="50" t="s">
        <v>66</v>
      </c>
      <c r="Y25" s="63">
        <f>0.5+SUMPRODUCT(B8:K8,B9:K9)/SUM(B9:K9)</f>
        <v>0.705817926981951</v>
      </c>
      <c r="AA25" s="50" t="s">
        <v>67</v>
      </c>
      <c r="AB25" s="62">
        <f>3*AB23</f>
        <v>0.15000000000000002</v>
      </c>
    </row>
    <row r="26" spans="1:28" x14ac:dyDescent="0.35">
      <c r="A26" s="50">
        <v>2014</v>
      </c>
      <c r="B26" s="44">
        <f t="shared" si="0"/>
        <v>2424.4609938785434</v>
      </c>
      <c r="C26" s="45">
        <f>C190</f>
        <v>1543.7695413906156</v>
      </c>
      <c r="D26" s="45">
        <f>C191</f>
        <v>15299.727172438041</v>
      </c>
      <c r="E26" s="15">
        <f t="shared" ref="E26:E34" si="4">D26/C26</f>
        <v>9.9106289910708867</v>
      </c>
      <c r="F26" s="7"/>
      <c r="H26" s="17" t="s">
        <v>24</v>
      </c>
      <c r="I26" s="19">
        <v>1000</v>
      </c>
      <c r="K26" s="2"/>
      <c r="L26" s="50">
        <v>2014</v>
      </c>
      <c r="M26" s="57">
        <f t="shared" si="1"/>
        <v>1543.7695413906156</v>
      </c>
      <c r="N26" s="52">
        <f t="shared" si="2"/>
        <v>15299.727172438041</v>
      </c>
      <c r="O26" s="53">
        <f t="shared" ref="O26:O34" si="5">N26/M26</f>
        <v>9.9106289910708867</v>
      </c>
      <c r="P26" s="52">
        <f>VLOOKUP(N39,SAMPLE!A:K,3,FALSE)</f>
        <v>15207.744756621971</v>
      </c>
      <c r="Q26" s="52">
        <f t="shared" ref="Q26:Q34" si="6">P26-M26</f>
        <v>13663.975215231356</v>
      </c>
      <c r="R26" s="53">
        <f t="shared" ref="R26:R34" si="7">Q26/M26</f>
        <v>8.8510459941598238</v>
      </c>
      <c r="S26" s="52">
        <f>AVERAGEIF(SAMPLE!A:A,"&gt;="&amp;$N$39,SAMPLE!C:C)</f>
        <v>35562.019440417018</v>
      </c>
      <c r="T26" s="52">
        <f t="shared" si="3"/>
        <v>34018.249899026399</v>
      </c>
      <c r="U26" s="53">
        <f t="shared" ref="U26:U34" si="8">T26/M26</f>
        <v>22.03583435671559</v>
      </c>
    </row>
    <row r="27" spans="1:28" x14ac:dyDescent="0.35">
      <c r="A27" s="50">
        <v>2015</v>
      </c>
      <c r="B27" s="44">
        <f t="shared" si="0"/>
        <v>3788.9161440432072</v>
      </c>
      <c r="C27" s="45">
        <f>D190</f>
        <v>2545.2810378098852</v>
      </c>
      <c r="D27" s="45">
        <f>D191</f>
        <v>17508.932887372088</v>
      </c>
      <c r="E27" s="15">
        <f t="shared" si="4"/>
        <v>6.8789782453405772</v>
      </c>
      <c r="F27" s="7"/>
      <c r="G27" s="7"/>
      <c r="H27" s="17" t="s">
        <v>32</v>
      </c>
      <c r="I27" s="30" t="s">
        <v>53</v>
      </c>
      <c r="K27" s="2"/>
      <c r="L27" s="50">
        <v>2015</v>
      </c>
      <c r="M27" s="57">
        <f t="shared" si="1"/>
        <v>2545.2810378098852</v>
      </c>
      <c r="N27" s="52">
        <f t="shared" si="2"/>
        <v>17508.932887372088</v>
      </c>
      <c r="O27" s="53">
        <f t="shared" si="5"/>
        <v>6.8789782453405772</v>
      </c>
      <c r="P27" s="52">
        <f>VLOOKUP(N39,SAMPLE!A:K,4,FALSE)</f>
        <v>19323.75997709918</v>
      </c>
      <c r="Q27" s="52">
        <f t="shared" si="6"/>
        <v>16778.478939289296</v>
      </c>
      <c r="R27" s="53">
        <f t="shared" si="7"/>
        <v>6.591994632438122</v>
      </c>
      <c r="S27" s="52">
        <f>AVERAGEIF(SAMPLE!A:A,"&gt;="&amp;$N$39,SAMPLE!D:D)</f>
        <v>41639.881203251141</v>
      </c>
      <c r="T27" s="52">
        <f t="shared" si="3"/>
        <v>39094.600165441254</v>
      </c>
      <c r="U27" s="53">
        <f t="shared" si="8"/>
        <v>15.359639892292847</v>
      </c>
      <c r="X27" s="50" t="s">
        <v>68</v>
      </c>
      <c r="Y27" s="61">
        <f>Y25*Y23*Y21</f>
        <v>2.6468172261823162E-2</v>
      </c>
      <c r="AA27" s="50" t="s">
        <v>66</v>
      </c>
      <c r="AB27" s="63">
        <f>Y25</f>
        <v>0.705817926981951</v>
      </c>
    </row>
    <row r="28" spans="1:28" x14ac:dyDescent="0.35">
      <c r="A28" s="50">
        <v>2016</v>
      </c>
      <c r="B28" s="44">
        <f t="shared" si="0"/>
        <v>5082.0947002582252</v>
      </c>
      <c r="C28" s="45">
        <f>E190</f>
        <v>5485.647641396049</v>
      </c>
      <c r="D28" s="45">
        <f>E191</f>
        <v>21195.432423163318</v>
      </c>
      <c r="E28" s="15">
        <f t="shared" si="4"/>
        <v>3.8637976422724205</v>
      </c>
      <c r="F28" s="7"/>
      <c r="G28" s="7"/>
      <c r="H28" s="17" t="s">
        <v>25</v>
      </c>
      <c r="I28" s="19">
        <v>55</v>
      </c>
      <c r="K28" s="2"/>
      <c r="L28" s="50">
        <v>2016</v>
      </c>
      <c r="M28" s="57">
        <f t="shared" si="1"/>
        <v>5485.647641396049</v>
      </c>
      <c r="N28" s="52">
        <f t="shared" si="2"/>
        <v>21195.432423163318</v>
      </c>
      <c r="O28" s="53">
        <f t="shared" si="5"/>
        <v>3.8637976422724205</v>
      </c>
      <c r="P28" s="52">
        <f>VLOOKUP(N39,SAMPLE!A:K,5,FALSE)</f>
        <v>32568.766465624132</v>
      </c>
      <c r="Q28" s="52">
        <f t="shared" si="6"/>
        <v>27083.118824228084</v>
      </c>
      <c r="R28" s="53">
        <f t="shared" si="7"/>
        <v>4.9370868482058885</v>
      </c>
      <c r="S28" s="52">
        <f>AVERAGEIF(SAMPLE!A:A,"&gt;="&amp;$N$39,SAMPLE!E:E)</f>
        <v>54172.798849075756</v>
      </c>
      <c r="T28" s="52">
        <f t="shared" si="3"/>
        <v>48687.151207679708</v>
      </c>
      <c r="U28" s="53">
        <f t="shared" si="8"/>
        <v>8.8753697631387158</v>
      </c>
    </row>
    <row r="29" spans="1:28" x14ac:dyDescent="0.35">
      <c r="A29" s="50">
        <v>2017</v>
      </c>
      <c r="B29" s="44">
        <f t="shared" si="0"/>
        <v>9758.480338755995</v>
      </c>
      <c r="C29" s="45">
        <f>F190</f>
        <v>9503.6219024406946</v>
      </c>
      <c r="D29" s="45">
        <f>F191</f>
        <v>24746.483518552304</v>
      </c>
      <c r="E29" s="15">
        <f t="shared" si="4"/>
        <v>2.6039002574583674</v>
      </c>
      <c r="F29" s="7"/>
      <c r="G29" s="7"/>
      <c r="H29" s="17" t="s">
        <v>26</v>
      </c>
      <c r="I29" s="19">
        <v>19</v>
      </c>
      <c r="K29" s="2"/>
      <c r="L29" s="50">
        <v>2017</v>
      </c>
      <c r="M29" s="57">
        <f t="shared" si="1"/>
        <v>9503.6219024406946</v>
      </c>
      <c r="N29" s="52">
        <f t="shared" si="2"/>
        <v>24746.483518552304</v>
      </c>
      <c r="O29" s="53">
        <f t="shared" si="5"/>
        <v>2.6039002574583674</v>
      </c>
      <c r="P29" s="52">
        <f>VLOOKUP(N39,SAMPLE!A:K,6,FALSE)</f>
        <v>39975.076864335613</v>
      </c>
      <c r="Q29" s="52">
        <f t="shared" si="6"/>
        <v>30471.454961894917</v>
      </c>
      <c r="R29" s="53">
        <f t="shared" si="7"/>
        <v>3.2062991641186103</v>
      </c>
      <c r="S29" s="52">
        <f>AVERAGEIF(SAMPLE!A:A,"&gt;="&amp;$N$39,SAMPLE!F:F)</f>
        <v>66889.430058069105</v>
      </c>
      <c r="T29" s="52">
        <f t="shared" si="3"/>
        <v>57385.808155628409</v>
      </c>
      <c r="U29" s="53">
        <f t="shared" si="8"/>
        <v>6.0383092619552485</v>
      </c>
      <c r="AA29" s="50" t="s">
        <v>68</v>
      </c>
      <c r="AB29" s="61">
        <f>AB27*AB25*AB21</f>
        <v>1.5880903357093898E-2</v>
      </c>
    </row>
    <row r="30" spans="1:28" x14ac:dyDescent="0.35">
      <c r="A30" s="50">
        <v>2018</v>
      </c>
      <c r="B30" s="44">
        <f t="shared" si="0"/>
        <v>19176.324336506426</v>
      </c>
      <c r="C30" s="45">
        <f>G190</f>
        <v>19475.319763791933</v>
      </c>
      <c r="D30" s="45">
        <f>G191</f>
        <v>32397.31294837828</v>
      </c>
      <c r="E30" s="15">
        <f t="shared" si="4"/>
        <v>1.6635060857183264</v>
      </c>
      <c r="F30" s="7"/>
      <c r="G30" s="7"/>
      <c r="H30" s="17" t="s">
        <v>52</v>
      </c>
      <c r="I30" s="19">
        <v>2</v>
      </c>
      <c r="J30" t="s">
        <v>51</v>
      </c>
      <c r="K30" s="2"/>
      <c r="L30" s="50">
        <v>2018</v>
      </c>
      <c r="M30" s="57">
        <f t="shared" si="1"/>
        <v>19475.319763791933</v>
      </c>
      <c r="N30" s="52">
        <f t="shared" si="2"/>
        <v>32397.31294837828</v>
      </c>
      <c r="O30" s="53">
        <f t="shared" si="5"/>
        <v>1.6635060857183264</v>
      </c>
      <c r="P30" s="52">
        <f>VLOOKUP(N39,SAMPLE!A:K,7,FALSE)</f>
        <v>62452.307980141661</v>
      </c>
      <c r="Q30" s="52">
        <f t="shared" si="6"/>
        <v>42976.988216349724</v>
      </c>
      <c r="R30" s="53">
        <f t="shared" si="7"/>
        <v>2.2067410824366309</v>
      </c>
      <c r="S30" s="52">
        <f>AVERAGEIF(SAMPLE!A:A,"&gt;="&amp;$N$39,SAMPLE!G:G)</f>
        <v>92709.477048290282</v>
      </c>
      <c r="T30" s="52">
        <f t="shared" si="3"/>
        <v>73234.157284498346</v>
      </c>
      <c r="U30" s="53">
        <f t="shared" si="8"/>
        <v>3.7603571172501931</v>
      </c>
    </row>
    <row r="31" spans="1:28" x14ac:dyDescent="0.35">
      <c r="A31" s="50">
        <v>2019</v>
      </c>
      <c r="B31" s="44">
        <f t="shared" si="0"/>
        <v>79160.179299764335</v>
      </c>
      <c r="C31" s="45">
        <f>H190</f>
        <v>79660.674544825117</v>
      </c>
      <c r="D31" s="45">
        <f>H191</f>
        <v>53619.158239525546</v>
      </c>
      <c r="E31" s="15">
        <f t="shared" si="4"/>
        <v>0.6730944540188899</v>
      </c>
      <c r="F31" s="7"/>
      <c r="G31" s="7"/>
      <c r="K31" s="2"/>
      <c r="L31" s="50">
        <v>2019</v>
      </c>
      <c r="M31" s="57">
        <f t="shared" si="1"/>
        <v>79660.674544825117</v>
      </c>
      <c r="N31" s="52">
        <f t="shared" si="2"/>
        <v>53619.158239525546</v>
      </c>
      <c r="O31" s="53">
        <f t="shared" si="5"/>
        <v>0.6730944540188899</v>
      </c>
      <c r="P31" s="52">
        <f>VLOOKUP(N39,SAMPLE!A:K,8,FALSE)</f>
        <v>148610.32741367992</v>
      </c>
      <c r="Q31" s="52">
        <f t="shared" si="6"/>
        <v>68949.652868854799</v>
      </c>
      <c r="R31" s="53">
        <f t="shared" si="7"/>
        <v>0.86554191591808305</v>
      </c>
      <c r="S31" s="52">
        <f>AVERAGEIF(SAMPLE!A:A,"&gt;="&amp;$N$39,SAMPLE!H:H)</f>
        <v>190612.20106951401</v>
      </c>
      <c r="T31" s="52">
        <f t="shared" si="3"/>
        <v>110951.52652468889</v>
      </c>
      <c r="U31" s="53">
        <f t="shared" si="8"/>
        <v>1.3928017451353163</v>
      </c>
    </row>
    <row r="32" spans="1:28" x14ac:dyDescent="0.35">
      <c r="A32" s="50">
        <v>2020</v>
      </c>
      <c r="B32" s="44">
        <f t="shared" si="0"/>
        <v>385853.51031745225</v>
      </c>
      <c r="C32" s="45">
        <f>I190</f>
        <v>385774.60481535969</v>
      </c>
      <c r="D32" s="45">
        <f>I191</f>
        <v>110341.40200149492</v>
      </c>
      <c r="E32" s="15">
        <f t="shared" si="4"/>
        <v>0.28602557198991047</v>
      </c>
      <c r="F32" s="7"/>
      <c r="G32" s="7"/>
      <c r="H32" s="17" t="s">
        <v>27</v>
      </c>
      <c r="I32" s="2">
        <f>I28-I29</f>
        <v>36</v>
      </c>
      <c r="K32" s="2"/>
      <c r="L32" s="50">
        <v>2020</v>
      </c>
      <c r="M32" s="57">
        <f t="shared" si="1"/>
        <v>385774.60481535969</v>
      </c>
      <c r="N32" s="52">
        <f t="shared" si="2"/>
        <v>110341.40200149492</v>
      </c>
      <c r="O32" s="53">
        <f t="shared" si="5"/>
        <v>0.28602557198991047</v>
      </c>
      <c r="P32" s="52">
        <f>VLOOKUP(N39,SAMPLE!A:K,9,FALSE)</f>
        <v>533632.62783000187</v>
      </c>
      <c r="Q32" s="52">
        <f t="shared" si="6"/>
        <v>147858.02301464218</v>
      </c>
      <c r="R32" s="53">
        <f t="shared" si="7"/>
        <v>0.38327567747858965</v>
      </c>
      <c r="S32" s="52">
        <f>AVERAGEIF(SAMPLE!A:A,"&gt;="&amp;$N$39,SAMPLE!I:I)</f>
        <v>596596.99500145449</v>
      </c>
      <c r="T32" s="52">
        <f t="shared" si="3"/>
        <v>210822.3901860948</v>
      </c>
      <c r="U32" s="53">
        <f t="shared" si="8"/>
        <v>0.54649110531005296</v>
      </c>
    </row>
    <row r="33" spans="1:26" x14ac:dyDescent="0.35">
      <c r="A33" s="50">
        <v>2021</v>
      </c>
      <c r="B33" s="44">
        <f t="shared" si="0"/>
        <v>7255071.0713435039</v>
      </c>
      <c r="C33" s="45">
        <f>J190</f>
        <v>7252282.3912046906</v>
      </c>
      <c r="D33" s="45">
        <f>J191</f>
        <v>536429.90291338309</v>
      </c>
      <c r="E33" s="15">
        <f t="shared" si="4"/>
        <v>7.396704567984641E-2</v>
      </c>
      <c r="F33" s="7"/>
      <c r="H33" s="9" t="s">
        <v>11</v>
      </c>
      <c r="I33" s="10">
        <f>Q98/$I$32</f>
        <v>26438.608945591062</v>
      </c>
      <c r="K33" s="2"/>
      <c r="L33" s="50">
        <v>2021</v>
      </c>
      <c r="M33" s="57">
        <f t="shared" si="1"/>
        <v>7252282.3912046906</v>
      </c>
      <c r="N33" s="52">
        <f t="shared" si="2"/>
        <v>536429.90291338309</v>
      </c>
      <c r="O33" s="53">
        <f t="shared" si="5"/>
        <v>7.396704567984641E-2</v>
      </c>
      <c r="P33" s="52">
        <f>VLOOKUP(N39,SAMPLE!A:K,10,FALSE)</f>
        <v>7924375.084760719</v>
      </c>
      <c r="Q33" s="52">
        <f t="shared" si="6"/>
        <v>672092.69355602842</v>
      </c>
      <c r="R33" s="53">
        <f t="shared" si="7"/>
        <v>9.267326578059322E-2</v>
      </c>
      <c r="S33" s="52">
        <f>AVERAGEIF(SAMPLE!A:A,"&gt;="&amp;$N$39,SAMPLE!J:J)</f>
        <v>8222269.2336242078</v>
      </c>
      <c r="T33" s="52">
        <f t="shared" si="3"/>
        <v>969986.84241951723</v>
      </c>
      <c r="U33" s="53">
        <f t="shared" si="8"/>
        <v>0.13374918268432054</v>
      </c>
    </row>
    <row r="34" spans="1:26" x14ac:dyDescent="0.35">
      <c r="A34" s="50" t="s">
        <v>54</v>
      </c>
      <c r="B34" s="46">
        <f>M84</f>
        <v>7761561.1843685098</v>
      </c>
      <c r="C34" s="47">
        <f>K190</f>
        <v>7757547.8013544921</v>
      </c>
      <c r="D34" s="47">
        <f>K191</f>
        <v>573940.38357702375</v>
      </c>
      <c r="E34" s="32">
        <f t="shared" si="4"/>
        <v>7.3984769191729888E-2</v>
      </c>
      <c r="F34" s="7"/>
      <c r="K34" s="2"/>
      <c r="L34" s="50" t="s">
        <v>54</v>
      </c>
      <c r="M34" s="57">
        <f t="shared" si="1"/>
        <v>7757547.8013544921</v>
      </c>
      <c r="N34" s="52">
        <f t="shared" si="2"/>
        <v>573940.38357702375</v>
      </c>
      <c r="O34" s="65">
        <f t="shared" si="5"/>
        <v>7.3984769191729888E-2</v>
      </c>
      <c r="P34" s="52">
        <f>VLOOKUP(N39,SAMPLE!A:K,11,FALSE)</f>
        <v>8484880.5200455021</v>
      </c>
      <c r="Q34" s="57">
        <f t="shared" si="6"/>
        <v>727332.71869101003</v>
      </c>
      <c r="R34" s="64">
        <f t="shared" si="7"/>
        <v>9.3758071147691219E-2</v>
      </c>
      <c r="S34" s="52">
        <f>AVERAGEIF(SAMPLE!A:A,"&gt;="&amp;$N$39,SAMPLE!K:K)</f>
        <v>8790549.8483062238</v>
      </c>
      <c r="T34" s="57">
        <f t="shared" si="3"/>
        <v>1033002.0469517317</v>
      </c>
      <c r="U34" s="64">
        <f t="shared" si="8"/>
        <v>0.13316089999102118</v>
      </c>
    </row>
    <row r="35" spans="1:26" x14ac:dyDescent="0.35">
      <c r="B35" s="7"/>
      <c r="C35" s="7"/>
      <c r="D35" s="7"/>
      <c r="E35" s="7"/>
      <c r="F35" s="7"/>
      <c r="G35" s="7"/>
      <c r="H35" s="33"/>
      <c r="I35" s="7"/>
      <c r="J35" s="7"/>
      <c r="K35" s="7"/>
      <c r="L35" s="2"/>
      <c r="N35" s="2"/>
      <c r="O35" s="2"/>
      <c r="P35" s="2"/>
      <c r="Q35" s="2"/>
      <c r="R35" s="2"/>
      <c r="S35" s="2"/>
      <c r="T35" s="2"/>
      <c r="U35" s="2"/>
      <c r="V35" s="2"/>
    </row>
    <row r="37" spans="1:26" x14ac:dyDescent="0.35">
      <c r="B37" s="16" t="s">
        <v>38</v>
      </c>
    </row>
    <row r="38" spans="1:26" x14ac:dyDescent="0.35">
      <c r="Q38" s="49">
        <v>0</v>
      </c>
      <c r="R38" s="49">
        <v>1</v>
      </c>
      <c r="S38" s="49">
        <v>2</v>
      </c>
      <c r="T38" s="49">
        <v>3</v>
      </c>
      <c r="U38" s="49">
        <v>4</v>
      </c>
      <c r="V38" s="49">
        <v>5</v>
      </c>
      <c r="W38" s="49">
        <v>6</v>
      </c>
      <c r="X38" s="49">
        <v>7</v>
      </c>
      <c r="Y38" s="49">
        <v>8</v>
      </c>
      <c r="Z38" s="49">
        <v>9</v>
      </c>
    </row>
    <row r="39" spans="1:26" x14ac:dyDescent="0.35">
      <c r="B39" s="68">
        <f t="shared" ref="B39:B48" si="9">B9</f>
        <v>19837240</v>
      </c>
      <c r="C39" s="68">
        <f t="shared" ref="C39:K39" si="10">B39+C9</f>
        <v>24734443</v>
      </c>
      <c r="D39" s="68">
        <f t="shared" si="10"/>
        <v>24772516</v>
      </c>
      <c r="E39" s="68">
        <f t="shared" si="10"/>
        <v>24789978</v>
      </c>
      <c r="F39" s="68">
        <f t="shared" si="10"/>
        <v>24800356</v>
      </c>
      <c r="G39" s="68">
        <f t="shared" si="10"/>
        <v>24801896</v>
      </c>
      <c r="H39" s="68">
        <f t="shared" si="10"/>
        <v>24802978</v>
      </c>
      <c r="I39" s="68">
        <f t="shared" si="10"/>
        <v>24803695</v>
      </c>
      <c r="J39" s="68">
        <f t="shared" si="10"/>
        <v>24804930</v>
      </c>
      <c r="K39" s="68">
        <f t="shared" si="10"/>
        <v>24805949</v>
      </c>
      <c r="M39" s="54" t="s">
        <v>60</v>
      </c>
      <c r="N39">
        <f>ROUNDUP(L21*bsnum,0)</f>
        <v>900</v>
      </c>
      <c r="P39" s="50">
        <v>2012</v>
      </c>
      <c r="Q39" s="48"/>
      <c r="R39" s="67">
        <f>C39/B39</f>
        <v>1.246869171316171</v>
      </c>
      <c r="S39" s="67">
        <f t="shared" ref="S39:Z46" si="11">D39/C39</f>
        <v>1.0015392705629151</v>
      </c>
      <c r="T39" s="67">
        <f t="shared" si="11"/>
        <v>1.0007048940850416</v>
      </c>
      <c r="U39" s="67">
        <f t="shared" si="11"/>
        <v>1.000418636918516</v>
      </c>
      <c r="V39" s="67">
        <f t="shared" si="11"/>
        <v>1.0000620958828172</v>
      </c>
      <c r="W39" s="67">
        <f t="shared" si="11"/>
        <v>1.0000436256970031</v>
      </c>
      <c r="X39" s="67">
        <f t="shared" si="11"/>
        <v>1.000028907819053</v>
      </c>
      <c r="Y39" s="67">
        <f t="shared" si="11"/>
        <v>1.0000497909686439</v>
      </c>
      <c r="Z39" s="67">
        <f t="shared" si="11"/>
        <v>1.0000410805432629</v>
      </c>
    </row>
    <row r="40" spans="1:26" x14ac:dyDescent="0.35">
      <c r="B40" s="68">
        <f t="shared" si="9"/>
        <v>24195052</v>
      </c>
      <c r="C40" s="68">
        <f t="shared" ref="C40:J40" si="12">B40+C10</f>
        <v>30076467</v>
      </c>
      <c r="D40" s="68">
        <f t="shared" si="12"/>
        <v>30285602</v>
      </c>
      <c r="E40" s="68">
        <f t="shared" si="12"/>
        <v>30323847</v>
      </c>
      <c r="F40" s="68">
        <f t="shared" si="12"/>
        <v>30328675</v>
      </c>
      <c r="G40" s="68">
        <f t="shared" si="12"/>
        <v>30330957</v>
      </c>
      <c r="H40" s="68">
        <f t="shared" si="12"/>
        <v>30332068</v>
      </c>
      <c r="I40" s="68">
        <f t="shared" si="12"/>
        <v>30333132</v>
      </c>
      <c r="J40" s="68">
        <f t="shared" si="12"/>
        <v>30334236</v>
      </c>
      <c r="K40" s="68"/>
      <c r="P40" s="50">
        <v>2013</v>
      </c>
      <c r="Q40" s="48"/>
      <c r="R40" s="67">
        <f t="shared" ref="R40:R47" si="13">C40/B40</f>
        <v>1.2430833791967051</v>
      </c>
      <c r="S40" s="67">
        <f t="shared" si="11"/>
        <v>1.006953443035713</v>
      </c>
      <c r="T40" s="67">
        <f t="shared" si="11"/>
        <v>1.001262811285706</v>
      </c>
      <c r="U40" s="67">
        <f t="shared" si="11"/>
        <v>1.0001592146273526</v>
      </c>
      <c r="V40" s="67">
        <f t="shared" si="11"/>
        <v>1.000075242324302</v>
      </c>
      <c r="W40" s="67">
        <f t="shared" si="11"/>
        <v>1.0000366292431855</v>
      </c>
      <c r="X40" s="67">
        <f t="shared" si="11"/>
        <v>1.0000350783863468</v>
      </c>
      <c r="Y40" s="67">
        <f t="shared" si="11"/>
        <v>1.0000363958459679</v>
      </c>
      <c r="Z40" s="48"/>
    </row>
    <row r="41" spans="1:26" x14ac:dyDescent="0.35">
      <c r="B41" s="68">
        <f t="shared" si="9"/>
        <v>23206289</v>
      </c>
      <c r="C41" s="68">
        <f t="shared" ref="C41:I41" si="14">B41+C11</f>
        <v>28667256</v>
      </c>
      <c r="D41" s="68">
        <f t="shared" si="14"/>
        <v>28902396</v>
      </c>
      <c r="E41" s="68">
        <f t="shared" si="14"/>
        <v>29005793</v>
      </c>
      <c r="F41" s="68">
        <f t="shared" si="14"/>
        <v>29028852</v>
      </c>
      <c r="G41" s="68">
        <f t="shared" si="14"/>
        <v>29030910</v>
      </c>
      <c r="H41" s="68">
        <f t="shared" si="14"/>
        <v>29032030</v>
      </c>
      <c r="I41" s="68">
        <f t="shared" si="14"/>
        <v>29034062</v>
      </c>
      <c r="J41" s="68"/>
      <c r="K41" s="68"/>
      <c r="P41" s="50">
        <v>2014</v>
      </c>
      <c r="Q41" s="48"/>
      <c r="R41" s="67">
        <f t="shared" si="13"/>
        <v>1.23532271790634</v>
      </c>
      <c r="S41" s="67">
        <f t="shared" si="11"/>
        <v>1.0082023895136667</v>
      </c>
      <c r="T41" s="67">
        <f t="shared" si="11"/>
        <v>1.0035774542705733</v>
      </c>
      <c r="U41" s="67">
        <f t="shared" si="11"/>
        <v>1.0007949791271005</v>
      </c>
      <c r="V41" s="67">
        <f t="shared" si="11"/>
        <v>1.0000708949840662</v>
      </c>
      <c r="W41" s="67">
        <f t="shared" si="11"/>
        <v>1.0000385795691558</v>
      </c>
      <c r="X41" s="67">
        <f t="shared" si="11"/>
        <v>1.0000699916609346</v>
      </c>
      <c r="Y41" s="48"/>
      <c r="Z41" s="48"/>
    </row>
    <row r="42" spans="1:26" x14ac:dyDescent="0.35">
      <c r="B42" s="68">
        <f t="shared" si="9"/>
        <v>23599114</v>
      </c>
      <c r="C42" s="68">
        <f t="shared" ref="C42:H42" si="15">B42+C12</f>
        <v>29004983</v>
      </c>
      <c r="D42" s="68">
        <f t="shared" si="15"/>
        <v>29305446</v>
      </c>
      <c r="E42" s="68">
        <f t="shared" si="15"/>
        <v>29405996</v>
      </c>
      <c r="F42" s="68">
        <f t="shared" si="15"/>
        <v>29407770</v>
      </c>
      <c r="G42" s="68">
        <f t="shared" si="15"/>
        <v>29412970</v>
      </c>
      <c r="H42" s="68">
        <f t="shared" si="15"/>
        <v>29414640</v>
      </c>
      <c r="I42" s="68"/>
      <c r="J42" s="68"/>
      <c r="K42" s="68"/>
      <c r="P42" s="50">
        <v>2015</v>
      </c>
      <c r="Q42" s="48"/>
      <c r="R42" s="67">
        <f t="shared" si="13"/>
        <v>1.2290708456258146</v>
      </c>
      <c r="S42" s="67">
        <f t="shared" si="11"/>
        <v>1.010359013139225</v>
      </c>
      <c r="T42" s="67">
        <f t="shared" si="11"/>
        <v>1.0034311028741894</v>
      </c>
      <c r="U42" s="67">
        <f t="shared" si="11"/>
        <v>1.0000603278324598</v>
      </c>
      <c r="V42" s="67">
        <f t="shared" si="11"/>
        <v>1.0001768240162379</v>
      </c>
      <c r="W42" s="67">
        <f t="shared" si="11"/>
        <v>1.000056777673251</v>
      </c>
      <c r="X42" s="48"/>
      <c r="Y42" s="48"/>
      <c r="Z42" s="48"/>
    </row>
    <row r="43" spans="1:26" x14ac:dyDescent="0.35">
      <c r="B43" s="68">
        <f t="shared" si="9"/>
        <v>23062198</v>
      </c>
      <c r="C43" s="68">
        <f>B43+C13</f>
        <v>28955452</v>
      </c>
      <c r="D43" s="68">
        <f>C43+D13</f>
        <v>29396680</v>
      </c>
      <c r="E43" s="68">
        <f>D43+E13</f>
        <v>29420321</v>
      </c>
      <c r="F43" s="68">
        <f>E43+F13</f>
        <v>29422603</v>
      </c>
      <c r="G43" s="68">
        <f>F43+G13</f>
        <v>29429067</v>
      </c>
      <c r="H43" s="68"/>
      <c r="I43" s="68"/>
      <c r="J43" s="68"/>
      <c r="K43" s="68"/>
      <c r="P43" s="50">
        <v>2016</v>
      </c>
      <c r="Q43" s="48"/>
      <c r="R43" s="67">
        <f t="shared" si="13"/>
        <v>1.2555373950045872</v>
      </c>
      <c r="S43" s="67">
        <f t="shared" si="11"/>
        <v>1.0152381665463208</v>
      </c>
      <c r="T43" s="67">
        <f t="shared" si="11"/>
        <v>1.00080420646141</v>
      </c>
      <c r="U43" s="67">
        <f t="shared" si="11"/>
        <v>1.000077565435129</v>
      </c>
      <c r="V43" s="67">
        <f t="shared" si="11"/>
        <v>1.0002196950419378</v>
      </c>
      <c r="W43" s="48"/>
      <c r="X43" s="48"/>
      <c r="Y43" s="48"/>
      <c r="Z43" s="48"/>
    </row>
    <row r="44" spans="1:26" x14ac:dyDescent="0.35">
      <c r="B44" s="68">
        <f t="shared" si="9"/>
        <v>26504900</v>
      </c>
      <c r="C44" s="68">
        <f>B44+C14</f>
        <v>32656369</v>
      </c>
      <c r="D44" s="68">
        <f>C44+D14</f>
        <v>32999241</v>
      </c>
      <c r="E44" s="68">
        <f>D44+E14</f>
        <v>33032951</v>
      </c>
      <c r="F44" s="68">
        <f>E44+F14</f>
        <v>33034107</v>
      </c>
      <c r="G44" s="68"/>
      <c r="H44" s="68"/>
      <c r="I44" s="68"/>
      <c r="J44" s="68"/>
      <c r="K44" s="68"/>
      <c r="P44" s="50">
        <v>2017</v>
      </c>
      <c r="Q44" s="48"/>
      <c r="R44" s="67">
        <f t="shared" si="13"/>
        <v>1.2320879912770846</v>
      </c>
      <c r="S44" s="67">
        <f t="shared" si="11"/>
        <v>1.0104993914050886</v>
      </c>
      <c r="T44" s="67">
        <f t="shared" si="11"/>
        <v>1.0010215386469041</v>
      </c>
      <c r="U44" s="67">
        <f t="shared" si="11"/>
        <v>1.0000349953596335</v>
      </c>
      <c r="V44" s="48"/>
      <c r="W44" s="48"/>
      <c r="X44" s="48"/>
      <c r="Y44" s="48"/>
      <c r="Z44" s="48"/>
    </row>
    <row r="45" spans="1:26" x14ac:dyDescent="0.35">
      <c r="B45" s="68">
        <f t="shared" si="9"/>
        <v>27905232</v>
      </c>
      <c r="C45" s="68">
        <f>B45+C15</f>
        <v>34933886</v>
      </c>
      <c r="D45" s="68">
        <f>C45+D15</f>
        <v>35326759</v>
      </c>
      <c r="E45" s="68">
        <f>D45+E15</f>
        <v>35345637</v>
      </c>
      <c r="F45" s="68"/>
      <c r="G45" s="68"/>
      <c r="H45" s="68"/>
      <c r="I45" s="68"/>
      <c r="J45" s="68"/>
      <c r="K45" s="68"/>
      <c r="P45" s="50">
        <v>2018</v>
      </c>
      <c r="Q45" s="48"/>
      <c r="R45" s="67">
        <f t="shared" si="13"/>
        <v>1.2518758489447428</v>
      </c>
      <c r="S45" s="67">
        <f t="shared" si="11"/>
        <v>1.0112461865822771</v>
      </c>
      <c r="T45" s="67">
        <f t="shared" si="11"/>
        <v>1.0005343824492929</v>
      </c>
      <c r="U45" s="48"/>
      <c r="V45" s="48"/>
      <c r="W45" s="48"/>
      <c r="X45" s="48"/>
      <c r="Y45" s="48"/>
      <c r="Z45" s="48"/>
    </row>
    <row r="46" spans="1:26" x14ac:dyDescent="0.35">
      <c r="B46" s="68">
        <f t="shared" si="9"/>
        <v>30240045</v>
      </c>
      <c r="C46" s="68">
        <f>B46+C16</f>
        <v>36953593</v>
      </c>
      <c r="D46" s="68">
        <f>C46+D16</f>
        <v>37071304</v>
      </c>
      <c r="E46" s="68"/>
      <c r="F46" s="68"/>
      <c r="G46" s="68"/>
      <c r="H46" s="68"/>
      <c r="I46" s="68"/>
      <c r="J46" s="68"/>
      <c r="K46" s="68"/>
      <c r="P46" s="50">
        <v>2019</v>
      </c>
      <c r="Q46" s="48"/>
      <c r="R46" s="67">
        <f t="shared" si="13"/>
        <v>1.222008532064023</v>
      </c>
      <c r="S46" s="67">
        <f t="shared" si="11"/>
        <v>1.003185373611708</v>
      </c>
      <c r="T46" s="48"/>
      <c r="U46" s="48"/>
      <c r="V46" s="48"/>
      <c r="W46" s="48"/>
      <c r="X46" s="48"/>
      <c r="Y46" s="48"/>
      <c r="Z46" s="48"/>
    </row>
    <row r="47" spans="1:26" x14ac:dyDescent="0.35">
      <c r="B47" s="68">
        <f t="shared" si="9"/>
        <v>30303763</v>
      </c>
      <c r="C47" s="68">
        <f>B47+C17</f>
        <v>36404407</v>
      </c>
      <c r="D47" s="68"/>
      <c r="E47" s="68"/>
      <c r="F47" s="68"/>
      <c r="G47" s="68"/>
      <c r="H47" s="68"/>
      <c r="I47" s="68"/>
      <c r="J47" s="68"/>
      <c r="K47" s="68"/>
      <c r="P47" s="50">
        <v>2020</v>
      </c>
      <c r="Q47" s="48"/>
      <c r="R47" s="67">
        <f t="shared" si="13"/>
        <v>1.2013163843711423</v>
      </c>
      <c r="S47" s="67"/>
      <c r="T47" s="48"/>
      <c r="U47" s="48"/>
      <c r="V47" s="48"/>
      <c r="W47" s="48"/>
      <c r="X47" s="48"/>
      <c r="Y47" s="48"/>
      <c r="Z47" s="48"/>
    </row>
    <row r="48" spans="1:26" x14ac:dyDescent="0.35">
      <c r="B48" s="68">
        <f t="shared" si="9"/>
        <v>29373189</v>
      </c>
      <c r="C48" s="68"/>
      <c r="D48" s="68"/>
      <c r="E48" s="68"/>
      <c r="F48" s="68"/>
      <c r="G48" s="68"/>
      <c r="H48" s="68"/>
      <c r="I48" s="68"/>
      <c r="J48" s="68"/>
      <c r="K48" s="68"/>
      <c r="P48" s="50">
        <v>2021</v>
      </c>
      <c r="Q48" s="48"/>
      <c r="R48" s="67"/>
      <c r="S48" s="67"/>
      <c r="T48" s="48"/>
      <c r="U48" s="48"/>
      <c r="V48" s="48"/>
      <c r="W48" s="48"/>
      <c r="X48" s="48"/>
      <c r="Y48" s="48"/>
      <c r="Z48" s="48"/>
    </row>
    <row r="50" spans="2:26" x14ac:dyDescent="0.35">
      <c r="B50" s="16" t="s">
        <v>0</v>
      </c>
      <c r="Q50" s="50" t="s">
        <v>69</v>
      </c>
      <c r="R50" s="67">
        <f>AVERAGE(R39:R47)</f>
        <v>1.2352413628562902</v>
      </c>
      <c r="S50" s="67">
        <f t="shared" ref="S50:Z50" si="16">AVERAGE(S39:S47)</f>
        <v>1.0084029042996141</v>
      </c>
      <c r="T50" s="67">
        <f t="shared" si="16"/>
        <v>1.0016194842961597</v>
      </c>
      <c r="U50" s="67">
        <f t="shared" si="16"/>
        <v>1.000257619883365</v>
      </c>
      <c r="V50" s="67">
        <f t="shared" si="16"/>
        <v>1.000120950449872</v>
      </c>
      <c r="W50" s="67">
        <f t="shared" si="16"/>
        <v>1.0000439030456487</v>
      </c>
      <c r="X50" s="67">
        <f t="shared" si="16"/>
        <v>1.0000446592887782</v>
      </c>
      <c r="Y50" s="67">
        <f t="shared" si="16"/>
        <v>1.0000430934073059</v>
      </c>
      <c r="Z50" s="67">
        <f t="shared" si="16"/>
        <v>1.0000410805432629</v>
      </c>
    </row>
    <row r="51" spans="2:26" x14ac:dyDescent="0.35">
      <c r="B51">
        <f>SUM(C39:C47)/SUM(B39:B47)</f>
        <v>1.2339179654465302</v>
      </c>
      <c r="C51">
        <f>SUM(D39:D46)/SUM(C39:C46)</f>
        <v>1.0084457041892447</v>
      </c>
      <c r="D51">
        <f>SUM(E39:E45)/SUM(D39:D45)</f>
        <v>1.0015919482679256</v>
      </c>
      <c r="E51">
        <f>SUM(F39:F44)/SUM(E39:E44)</f>
        <v>1.0002470580476341</v>
      </c>
      <c r="F51">
        <f>SUM(G39:G43)/SUM(F39:F43)</f>
        <v>1.0001226953911515</v>
      </c>
      <c r="G51">
        <f>SUM(H39:H42)/SUM(G39:G42)</f>
        <v>1.000043873422561</v>
      </c>
      <c r="H51">
        <f>SUM(I39:I41)/SUM(H39:H41)</f>
        <v>1.0000453027499732</v>
      </c>
      <c r="I51">
        <f>SUM(J39:J40)/SUM(I39:I40)</f>
        <v>1.0000424217374715</v>
      </c>
      <c r="J51">
        <f>SUM(K39:K39)/SUM(J39:J39)</f>
        <v>1.0000410805432629</v>
      </c>
      <c r="K51">
        <v>1</v>
      </c>
      <c r="Q51" s="50" t="s">
        <v>57</v>
      </c>
      <c r="R51" s="67">
        <f>_xlfn.STDEV.S(R39:R47)</f>
        <v>1.6805415154428148E-2</v>
      </c>
      <c r="S51" s="67">
        <f t="shared" ref="S51:Y51" si="17">_xlfn.STDEV.S(S39:S47)</f>
        <v>4.4641416193247439E-3</v>
      </c>
      <c r="T51" s="67">
        <f t="shared" si="17"/>
        <v>1.3088775183974803E-3</v>
      </c>
      <c r="U51" s="67">
        <f t="shared" si="17"/>
        <v>2.984193268185751E-4</v>
      </c>
      <c r="V51" s="67">
        <f t="shared" si="17"/>
        <v>7.2337736251613463E-5</v>
      </c>
      <c r="W51" s="67">
        <f t="shared" si="17"/>
        <v>9.0752513723302458E-6</v>
      </c>
      <c r="X51" s="67">
        <f t="shared" si="17"/>
        <v>2.2154362651351757E-5</v>
      </c>
      <c r="Y51" s="67">
        <f t="shared" si="17"/>
        <v>9.4717820789914284E-6</v>
      </c>
      <c r="Z51" s="67"/>
    </row>
    <row r="52" spans="2:26" x14ac:dyDescent="0.35">
      <c r="Q52" s="50" t="s">
        <v>58</v>
      </c>
      <c r="R52" s="67">
        <f>R51/R50</f>
        <v>1.3604964713591213E-2</v>
      </c>
      <c r="S52" s="67">
        <f t="shared" ref="S52:Y52" si="18">S51/S50</f>
        <v>4.4269424456143472E-3</v>
      </c>
      <c r="T52" s="67">
        <f t="shared" si="18"/>
        <v>1.3067612390919407E-3</v>
      </c>
      <c r="U52" s="67">
        <f t="shared" si="18"/>
        <v>2.9834246786680042E-4</v>
      </c>
      <c r="V52" s="67">
        <f t="shared" si="18"/>
        <v>7.2328988027972686E-5</v>
      </c>
      <c r="W52" s="67">
        <f t="shared" si="18"/>
        <v>9.074852958646547E-6</v>
      </c>
      <c r="X52" s="67">
        <f t="shared" si="18"/>
        <v>2.2153373297456256E-5</v>
      </c>
      <c r="Y52" s="67">
        <f t="shared" si="18"/>
        <v>9.4713739252171223E-6</v>
      </c>
      <c r="Z52" s="67"/>
    </row>
    <row r="54" spans="2:26" x14ac:dyDescent="0.35">
      <c r="B54" s="16" t="s">
        <v>39</v>
      </c>
    </row>
    <row r="55" spans="2:26" x14ac:dyDescent="0.35">
      <c r="B55" s="26"/>
      <c r="C55" s="26"/>
      <c r="D55" s="26"/>
      <c r="E55" s="26"/>
      <c r="F55" s="26"/>
      <c r="G55" s="26"/>
      <c r="H55" s="26"/>
      <c r="I55" s="26"/>
      <c r="J55" s="26"/>
      <c r="K55" s="26"/>
    </row>
    <row r="56" spans="2:26" x14ac:dyDescent="0.35">
      <c r="B56" s="34">
        <f t="shared" ref="B56:J56" si="19">C56/B$51</f>
        <v>19892559.102784462</v>
      </c>
      <c r="C56" s="2">
        <f t="shared" si="19"/>
        <v>24545786.055632658</v>
      </c>
      <c r="D56" s="2">
        <f t="shared" si="19"/>
        <v>24753092.503751021</v>
      </c>
      <c r="E56" s="2">
        <f t="shared" si="19"/>
        <v>24792498.146488171</v>
      </c>
      <c r="F56" s="2">
        <f t="shared" si="19"/>
        <v>24798623.332676217</v>
      </c>
      <c r="G56" s="2">
        <f t="shared" si="19"/>
        <v>24801666.009466037</v>
      </c>
      <c r="H56" s="2">
        <f t="shared" si="19"/>
        <v>24802754.143439088</v>
      </c>
      <c r="I56" s="2">
        <f t="shared" si="19"/>
        <v>24803877.776408695</v>
      </c>
      <c r="J56" s="2">
        <f t="shared" si="19"/>
        <v>24804930</v>
      </c>
      <c r="K56" s="35">
        <f>K39</f>
        <v>24805949</v>
      </c>
    </row>
    <row r="57" spans="2:26" x14ac:dyDescent="0.35">
      <c r="B57" s="34">
        <f t="shared" ref="B57:I57" si="20">C57/B$51</f>
        <v>24326840.771887373</v>
      </c>
      <c r="C57" s="2">
        <f t="shared" si="20"/>
        <v>30017325.870988965</v>
      </c>
      <c r="D57" s="2">
        <f t="shared" si="20"/>
        <v>30270843.325847499</v>
      </c>
      <c r="E57" s="2">
        <f t="shared" si="20"/>
        <v>30319032.942448732</v>
      </c>
      <c r="F57" s="2">
        <f t="shared" si="20"/>
        <v>30326523.503533646</v>
      </c>
      <c r="G57" s="2">
        <f t="shared" si="20"/>
        <v>30330244.428197179</v>
      </c>
      <c r="H57" s="2">
        <f t="shared" si="20"/>
        <v>30331575.119827356</v>
      </c>
      <c r="I57" s="2">
        <f t="shared" si="20"/>
        <v>30332949.223591302</v>
      </c>
      <c r="J57" s="35">
        <f>J40</f>
        <v>30334236</v>
      </c>
      <c r="K57" s="2">
        <f t="shared" ref="K57:K65" si="21">J57*J$51</f>
        <v>30335482.146894347</v>
      </c>
    </row>
    <row r="58" spans="2:26" x14ac:dyDescent="0.35">
      <c r="B58" s="34">
        <f t="shared" ref="B58:H58" si="22">C58/B$51</f>
        <v>23285141.119274322</v>
      </c>
      <c r="C58" s="2">
        <f t="shared" si="22"/>
        <v>28731953.955030311</v>
      </c>
      <c r="D58" s="2">
        <f t="shared" si="22"/>
        <v>28974615.538913496</v>
      </c>
      <c r="E58" s="2">
        <f t="shared" si="22"/>
        <v>29020741.627934482</v>
      </c>
      <c r="F58" s="2">
        <f t="shared" si="22"/>
        <v>29027911.435701974</v>
      </c>
      <c r="G58" s="2">
        <f t="shared" si="22"/>
        <v>29031473.026649889</v>
      </c>
      <c r="H58" s="2">
        <f t="shared" si="22"/>
        <v>29032746.736733552</v>
      </c>
      <c r="I58" s="35">
        <f>I41</f>
        <v>29034062</v>
      </c>
      <c r="J58" s="2">
        <f t="shared" ref="J58:J65" si="23">I58*I$51</f>
        <v>29035293.675355896</v>
      </c>
      <c r="K58" s="2">
        <f t="shared" si="21"/>
        <v>29036486.460993879</v>
      </c>
    </row>
    <row r="59" spans="2:26" x14ac:dyDescent="0.35">
      <c r="B59" s="34">
        <f t="shared" ref="B59:G59" si="24">C59/B$51</f>
        <v>23591431.068630312</v>
      </c>
      <c r="C59" s="2">
        <f t="shared" si="24"/>
        <v>29109890.626176376</v>
      </c>
      <c r="D59" s="2">
        <f t="shared" si="24"/>
        <v>29355744.151386328</v>
      </c>
      <c r="E59" s="2">
        <f t="shared" si="24"/>
        <v>29402476.977441795</v>
      </c>
      <c r="F59" s="2">
        <f t="shared" si="24"/>
        <v>29409741.095999449</v>
      </c>
      <c r="G59" s="2">
        <f t="shared" si="24"/>
        <v>29413349.535686888</v>
      </c>
      <c r="H59" s="35">
        <f>H42</f>
        <v>29414640</v>
      </c>
      <c r="I59" s="2">
        <f t="shared" ref="I59:I65" si="25">H59*H$51</f>
        <v>29415972.564081471</v>
      </c>
      <c r="J59" s="2">
        <f t="shared" si="23"/>
        <v>29417220.440747052</v>
      </c>
      <c r="K59" s="2">
        <f t="shared" si="21"/>
        <v>29418428.916144043</v>
      </c>
    </row>
    <row r="60" spans="2:26" x14ac:dyDescent="0.35">
      <c r="B60" s="34">
        <f>C60/B$51</f>
        <v>23604037.50352364</v>
      </c>
      <c r="C60" s="2">
        <f>D60/C$51</f>
        <v>29125445.932671487</v>
      </c>
      <c r="D60" s="2">
        <f>E60/D$51</f>
        <v>29371430.83339867</v>
      </c>
      <c r="E60" s="2">
        <f>F60/E$51</f>
        <v>29418188.631840397</v>
      </c>
      <c r="F60" s="2">
        <f>G60/F$51</f>
        <v>29425456.632088713</v>
      </c>
      <c r="G60" s="35">
        <f>G43</f>
        <v>29429067</v>
      </c>
      <c r="H60" s="2">
        <f t="shared" ref="H60:H65" si="26">G60*G$51</f>
        <v>29430358.153892066</v>
      </c>
      <c r="I60" s="2">
        <f t="shared" si="25"/>
        <v>29431691.430049133</v>
      </c>
      <c r="J60" s="2">
        <f t="shared" si="23"/>
        <v>29432939.97353632</v>
      </c>
      <c r="K60" s="2">
        <f t="shared" si="21"/>
        <v>29434149.094700258</v>
      </c>
    </row>
    <row r="61" spans="2:26" x14ac:dyDescent="0.35">
      <c r="B61" s="34">
        <f>C61/B$51</f>
        <v>26498766.366571911</v>
      </c>
      <c r="C61" s="2">
        <f>D61/C$51</f>
        <v>32697303.881883357</v>
      </c>
      <c r="D61" s="2">
        <f>E61/D$51</f>
        <v>32973455.638255589</v>
      </c>
      <c r="E61" s="2">
        <f>F61/E$51</f>
        <v>33025947.673846431</v>
      </c>
      <c r="F61" s="35">
        <f>F44</f>
        <v>33034107</v>
      </c>
      <c r="G61" s="2">
        <f>F61*F$51</f>
        <v>33038160.132679705</v>
      </c>
      <c r="H61" s="2">
        <f t="shared" si="26"/>
        <v>33039609.629839841</v>
      </c>
      <c r="I61" s="2">
        <f t="shared" si="25"/>
        <v>33041106.415014114</v>
      </c>
      <c r="J61" s="2">
        <f t="shared" si="23"/>
        <v>33042508.076156218</v>
      </c>
      <c r="K61" s="2">
        <f t="shared" si="21"/>
        <v>33043865.480338756</v>
      </c>
    </row>
    <row r="62" spans="2:26" x14ac:dyDescent="0.35">
      <c r="B62" s="34">
        <f>C62/B$51</f>
        <v>28359996.999643248</v>
      </c>
      <c r="C62" s="2">
        <f>D62/C$51</f>
        <v>34993909.797869496</v>
      </c>
      <c r="D62" s="2">
        <f>E62/D$51</f>
        <v>35289458.008447416</v>
      </c>
      <c r="E62" s="35">
        <f>E45</f>
        <v>35345637</v>
      </c>
      <c r="F62" s="2">
        <f>E62*E$51</f>
        <v>35354369.424069606</v>
      </c>
      <c r="G62" s="2">
        <f>F62*F$51</f>
        <v>35358707.24225501</v>
      </c>
      <c r="H62" s="2">
        <f t="shared" si="26"/>
        <v>35360258.54975906</v>
      </c>
      <c r="I62" s="2">
        <f t="shared" si="25"/>
        <v>35361860.466711126</v>
      </c>
      <c r="J62" s="2">
        <f t="shared" si="23"/>
        <v>35363360.57827235</v>
      </c>
      <c r="K62" s="2">
        <f t="shared" si="21"/>
        <v>35364813.324336506</v>
      </c>
    </row>
    <row r="63" spans="2:26" x14ac:dyDescent="0.35">
      <c r="B63" s="34">
        <f>C63/B$51</f>
        <v>29791958.549241465</v>
      </c>
      <c r="C63" s="2">
        <f>D63/C$51</f>
        <v>36760832.879747391</v>
      </c>
      <c r="D63" s="35">
        <f>D46</f>
        <v>37071304</v>
      </c>
      <c r="E63" s="2">
        <f>D63*D$51</f>
        <v>37130319.598192543</v>
      </c>
      <c r="F63" s="2">
        <f>E63*E$51</f>
        <v>37139492.942460507</v>
      </c>
      <c r="G63" s="2">
        <f>F63*F$51</f>
        <v>37144049.787074253</v>
      </c>
      <c r="H63" s="2">
        <f t="shared" si="26"/>
        <v>37145679.423666187</v>
      </c>
      <c r="I63" s="2">
        <f t="shared" si="25"/>
        <v>37147362.2250937</v>
      </c>
      <c r="J63" s="2">
        <f t="shared" si="23"/>
        <v>37148938.080741771</v>
      </c>
      <c r="K63" s="2">
        <f t="shared" si="21"/>
        <v>37150464.179299764</v>
      </c>
    </row>
    <row r="64" spans="2:26" x14ac:dyDescent="0.35">
      <c r="B64" s="34">
        <f>C64/B$51</f>
        <v>29503101.518443305</v>
      </c>
      <c r="C64" s="35">
        <f>C47</f>
        <v>36404407</v>
      </c>
      <c r="D64" s="2">
        <f>C64*C$51</f>
        <v>36711867.852706872</v>
      </c>
      <c r="E64" s="2">
        <f>D64*D$51</f>
        <v>36770311.247147307</v>
      </c>
      <c r="F64" s="2">
        <f>E64*E$51</f>
        <v>36779395.648454927</v>
      </c>
      <c r="G64" s="2">
        <f>F64*F$51</f>
        <v>36783908.31079033</v>
      </c>
      <c r="H64" s="2">
        <f t="shared" si="26"/>
        <v>36785522.146743096</v>
      </c>
      <c r="I64" s="2">
        <f t="shared" si="25"/>
        <v>36787188.632055543</v>
      </c>
      <c r="J64" s="2">
        <f t="shared" si="23"/>
        <v>36788749.208514005</v>
      </c>
      <c r="K64" s="2">
        <f t="shared" si="21"/>
        <v>36790260.510317452</v>
      </c>
    </row>
    <row r="65" spans="2:25" x14ac:dyDescent="0.35">
      <c r="B65" s="36">
        <f>B48</f>
        <v>29373189</v>
      </c>
      <c r="C65" s="2">
        <f>B65*B$51</f>
        <v>36244105.609556399</v>
      </c>
      <c r="D65" s="2">
        <f>C65*C$51</f>
        <v>36550212.604138456</v>
      </c>
      <c r="E65" s="2">
        <f>D65*D$51</f>
        <v>36608398.651785925</v>
      </c>
      <c r="F65" s="2">
        <f>E65*E$51</f>
        <v>36617443.051283851</v>
      </c>
      <c r="G65" s="2">
        <f>F65*F$51</f>
        <v>36621935.842781998</v>
      </c>
      <c r="H65" s="2">
        <f t="shared" si="26"/>
        <v>36623542.572448231</v>
      </c>
      <c r="I65" s="2">
        <f t="shared" si="25"/>
        <v>36625201.719640523</v>
      </c>
      <c r="J65" s="2">
        <f t="shared" si="23"/>
        <v>36626755.424332716</v>
      </c>
      <c r="K65" s="2">
        <f t="shared" si="21"/>
        <v>36628260.071343504</v>
      </c>
    </row>
    <row r="67" spans="2:25" x14ac:dyDescent="0.35">
      <c r="B67" s="16" t="s">
        <v>35</v>
      </c>
    </row>
    <row r="68" spans="2:25" x14ac:dyDescent="0.35">
      <c r="B68">
        <f>SUM(C56:C64)/SUM(B56:B64)</f>
        <v>1.2339179654465302</v>
      </c>
      <c r="C68">
        <f>SUM(D56:D63)/SUM(C56:C63)</f>
        <v>1.0084457041892447</v>
      </c>
      <c r="D68">
        <f>SUM(E56:E62)/SUM(D56:D62)</f>
        <v>1.0015919482679256</v>
      </c>
      <c r="E68">
        <f>SUM(F56:F61)/SUM(E56:E61)</f>
        <v>1.0002470580476341</v>
      </c>
      <c r="F68">
        <f>SUM(G56:G60)/SUM(F56:F60)</f>
        <v>1.0001226953911515</v>
      </c>
      <c r="G68">
        <f>SUM(H56:H59)/SUM(G56:G59)</f>
        <v>1.000043873422561</v>
      </c>
      <c r="H68">
        <f>SUM(I56:I58)/SUM(H56:H58)</f>
        <v>1.0000453027499732</v>
      </c>
      <c r="I68">
        <f>SUM(J56:J57)/SUM(I56:I57)</f>
        <v>1.0000424217374715</v>
      </c>
      <c r="J68">
        <f>SUM(K56:K56)/SUM(J56:J56)</f>
        <v>1.0000410805432629</v>
      </c>
    </row>
    <row r="71" spans="2:25" x14ac:dyDescent="0.35">
      <c r="B71" s="16" t="s">
        <v>40</v>
      </c>
      <c r="M71" t="s">
        <v>1</v>
      </c>
      <c r="P71" t="s">
        <v>2</v>
      </c>
    </row>
    <row r="72" spans="2:25" x14ac:dyDescent="0.35">
      <c r="B72" s="26"/>
      <c r="C72" s="26"/>
      <c r="D72" s="26"/>
      <c r="E72" s="26"/>
      <c r="F72" s="26"/>
      <c r="G72" s="26"/>
      <c r="H72" s="26"/>
      <c r="I72" s="26"/>
      <c r="J72" s="26"/>
      <c r="K72" s="26"/>
    </row>
    <row r="73" spans="2:25" x14ac:dyDescent="0.35">
      <c r="B73" s="34">
        <f t="shared" ref="B73:B82" si="27">B56</f>
        <v>19892559.102784462</v>
      </c>
      <c r="C73" s="2">
        <f t="shared" ref="C73:K73" si="28">C56-B56</f>
        <v>4653226.952848196</v>
      </c>
      <c r="D73" s="2">
        <f t="shared" si="28"/>
        <v>207306.44811836258</v>
      </c>
      <c r="E73" s="2">
        <f t="shared" si="28"/>
        <v>39405.642737150192</v>
      </c>
      <c r="F73" s="2">
        <f t="shared" si="28"/>
        <v>6125.1861880458891</v>
      </c>
      <c r="G73" s="2">
        <f t="shared" si="28"/>
        <v>3042.6767898201942</v>
      </c>
      <c r="H73" s="2">
        <f t="shared" si="28"/>
        <v>1088.1339730508626</v>
      </c>
      <c r="I73" s="2">
        <f t="shared" si="28"/>
        <v>1123.6329696066678</v>
      </c>
      <c r="J73" s="2">
        <f t="shared" si="28"/>
        <v>1052.2235913053155</v>
      </c>
      <c r="K73" s="35">
        <f t="shared" si="28"/>
        <v>1019</v>
      </c>
      <c r="M73" s="11">
        <v>0</v>
      </c>
      <c r="P73">
        <f t="shared" ref="P73" si="29">IF(B9&lt;=0,IF(B73&lt;=0,0,-B9*LN(B73)-B9+B73),IF(B73&lt;=0,B9*LN(B9)-B9+B73,B9*LN(B9)-B9*LN(B73)-B9+B73))</f>
        <v>76.989686615765095</v>
      </c>
      <c r="Q73">
        <f t="shared" ref="Q73:Y73" si="30">IF(C9&lt;=0,IF(C73&lt;=0,0,-C9*LN(C73)-C9+C73),IF(C73&lt;=0,C9*LN(C9)-C9+C73,C9*LN(C9)-C9*LN(C73)-C9+C73))</f>
        <v>6287.0818406045437</v>
      </c>
      <c r="R73">
        <f t="shared" si="30"/>
        <v>104711.41086821182</v>
      </c>
      <c r="S73">
        <f t="shared" si="30"/>
        <v>7731.636452096689</v>
      </c>
      <c r="T73">
        <f t="shared" si="30"/>
        <v>1219.2879295094608</v>
      </c>
      <c r="U73">
        <f t="shared" si="30"/>
        <v>454.0057286488809</v>
      </c>
      <c r="V73">
        <f t="shared" si="30"/>
        <v>1.7321638092653302E-2</v>
      </c>
      <c r="W73">
        <f t="shared" si="30"/>
        <v>84.523159534337537</v>
      </c>
      <c r="X73">
        <f t="shared" si="30"/>
        <v>15.027785074158601</v>
      </c>
      <c r="Y73">
        <f t="shared" si="30"/>
        <v>0</v>
      </c>
    </row>
    <row r="74" spans="2:25" x14ac:dyDescent="0.35">
      <c r="B74" s="34">
        <f t="shared" si="27"/>
        <v>24326840.771887373</v>
      </c>
      <c r="C74" s="2">
        <f t="shared" ref="C74:K74" si="31">C57-B57</f>
        <v>5690485.0991015919</v>
      </c>
      <c r="D74" s="2">
        <f t="shared" si="31"/>
        <v>253517.45485853404</v>
      </c>
      <c r="E74" s="2">
        <f t="shared" si="31"/>
        <v>48189.616601232439</v>
      </c>
      <c r="F74" s="2">
        <f t="shared" si="31"/>
        <v>7490.5610849149525</v>
      </c>
      <c r="G74" s="2">
        <f t="shared" si="31"/>
        <v>3720.9246635325253</v>
      </c>
      <c r="H74" s="2">
        <f t="shared" si="31"/>
        <v>1330.6916301771998</v>
      </c>
      <c r="I74" s="2">
        <f t="shared" si="31"/>
        <v>1374.1037639454007</v>
      </c>
      <c r="J74" s="35">
        <f t="shared" si="31"/>
        <v>1286.7764086984098</v>
      </c>
      <c r="K74" s="2">
        <f t="shared" si="31"/>
        <v>1246.1468943469226</v>
      </c>
      <c r="M74" s="11">
        <f>K74</f>
        <v>1246.1468943469226</v>
      </c>
      <c r="P74">
        <f t="shared" ref="P74" si="32">IF(B10&lt;=0,IF(B74&lt;=0,0,-B10*LN(B74)-B10+B74),IF(B74&lt;=0,B10*LN(B10)-B10+B74,B10*LN(B10)-B10*LN(B74)-B10+B74))</f>
        <v>357.62410671636462</v>
      </c>
      <c r="Q74">
        <f t="shared" ref="Q74:X74" si="33">IF(C10&lt;=0,IF(C74&lt;=0,0,-C10*LN(C74)-C10+C74),IF(C74&lt;=0,C10*LN(C10)-C10+C74,C10*LN(C10)-C10*LN(C74)-C10+C74))</f>
        <v>3167.8513909317553</v>
      </c>
      <c r="R74">
        <f t="shared" si="33"/>
        <v>4133.8595142383128</v>
      </c>
      <c r="S74">
        <f t="shared" si="33"/>
        <v>1105.0213786106324</v>
      </c>
      <c r="T74">
        <f t="shared" si="33"/>
        <v>542.04843271924619</v>
      </c>
      <c r="U74">
        <f t="shared" si="33"/>
        <v>323.20933438380962</v>
      </c>
      <c r="V74">
        <f t="shared" si="33"/>
        <v>19.224657656153795</v>
      </c>
      <c r="W74">
        <f t="shared" si="33"/>
        <v>37.968399848270565</v>
      </c>
      <c r="X74">
        <f t="shared" si="33"/>
        <v>13.643349201985984</v>
      </c>
    </row>
    <row r="75" spans="2:25" x14ac:dyDescent="0.35">
      <c r="B75" s="34">
        <f t="shared" si="27"/>
        <v>23285141.119274322</v>
      </c>
      <c r="C75" s="2">
        <f t="shared" ref="C75:K75" si="34">C58-B58</f>
        <v>5446812.835755989</v>
      </c>
      <c r="D75" s="2">
        <f t="shared" si="34"/>
        <v>242661.58388318494</v>
      </c>
      <c r="E75" s="2">
        <f t="shared" si="34"/>
        <v>46126.08902098611</v>
      </c>
      <c r="F75" s="2">
        <f t="shared" si="34"/>
        <v>7169.8077674917877</v>
      </c>
      <c r="G75" s="2">
        <f t="shared" si="34"/>
        <v>3561.5909479148686</v>
      </c>
      <c r="H75" s="2">
        <f t="shared" si="34"/>
        <v>1273.7100836634636</v>
      </c>
      <c r="I75" s="35">
        <f t="shared" si="34"/>
        <v>1315.2632664479315</v>
      </c>
      <c r="J75" s="2">
        <f t="shared" si="34"/>
        <v>1231.6753558963537</v>
      </c>
      <c r="K75" s="2">
        <f t="shared" si="34"/>
        <v>1192.7856379821897</v>
      </c>
      <c r="M75" s="11">
        <f>SUM(J75:K75)</f>
        <v>2424.4609938785434</v>
      </c>
      <c r="P75">
        <f t="shared" ref="P75" si="35">IF(B11&lt;=0,IF(B75&lt;=0,0,-B11*LN(B75)-B11+B75),IF(B75&lt;=0,B11*LN(B11)-B11+B75,B11*LN(B11)-B11*LN(B75)-B11+B75))</f>
        <v>133.66221446171403</v>
      </c>
      <c r="Q75">
        <f t="shared" ref="Q75:W75" si="36">IF(C11&lt;=0,IF(C75&lt;=0,0,-C11*LN(C75)-C11+C75),IF(C75&lt;=0,C11*LN(C11)-C11+C75,C11*LN(C11)-C11*LN(C75)-C11+C75))</f>
        <v>18.374695524573326</v>
      </c>
      <c r="R75">
        <f t="shared" si="36"/>
        <v>117.79364233417436</v>
      </c>
      <c r="S75">
        <f t="shared" si="36"/>
        <v>26190.86161314114</v>
      </c>
      <c r="T75">
        <f t="shared" si="36"/>
        <v>11047.808247745124</v>
      </c>
      <c r="U75">
        <f t="shared" si="36"/>
        <v>374.8341249232526</v>
      </c>
      <c r="V75">
        <f t="shared" si="36"/>
        <v>9.6721677081559392</v>
      </c>
      <c r="W75">
        <f t="shared" si="36"/>
        <v>167.15010726076252</v>
      </c>
    </row>
    <row r="76" spans="2:25" x14ac:dyDescent="0.35">
      <c r="B76" s="34">
        <f t="shared" si="27"/>
        <v>23591431.068630312</v>
      </c>
      <c r="C76" s="2">
        <f t="shared" ref="C76:K76" si="37">C59-B59</f>
        <v>5518459.5575460643</v>
      </c>
      <c r="D76" s="2">
        <f t="shared" si="37"/>
        <v>245853.52520995215</v>
      </c>
      <c r="E76" s="2">
        <f t="shared" si="37"/>
        <v>46732.826055467129</v>
      </c>
      <c r="F76" s="2">
        <f t="shared" si="37"/>
        <v>7264.1185576543212</v>
      </c>
      <c r="G76" s="2">
        <f t="shared" si="37"/>
        <v>3608.4396874383092</v>
      </c>
      <c r="H76" s="35">
        <f t="shared" si="37"/>
        <v>1290.4643131121993</v>
      </c>
      <c r="I76" s="2">
        <f t="shared" si="37"/>
        <v>1332.5640814714134</v>
      </c>
      <c r="J76" s="2">
        <f t="shared" si="37"/>
        <v>1247.8766655810177</v>
      </c>
      <c r="K76" s="2">
        <f t="shared" si="37"/>
        <v>1208.4753969907761</v>
      </c>
      <c r="M76" s="11">
        <f>SUM(I76:K76)</f>
        <v>3788.9161440432072</v>
      </c>
      <c r="P76">
        <f t="shared" ref="P76" si="38">IF(B12&lt;=0,IF(B76&lt;=0,0,-B12*LN(B76)-B12+B76),IF(B76&lt;=0,B12*LN(B12)-B12+B76,B12*LN(B12)-B12*LN(B76)-B12+B76))</f>
        <v>1.2508997060358524</v>
      </c>
      <c r="Q76">
        <f t="shared" ref="Q76:V76" si="39">IF(C12&lt;=0,IF(C76&lt;=0,0,-C12*LN(C76)-C12+C76),IF(C76&lt;=0,C12*LN(C12)-C12+C76,C12*LN(C12)-C12*LN(C76)-C12+C76))</f>
        <v>1156.4582213014364</v>
      </c>
      <c r="R76">
        <f t="shared" si="39"/>
        <v>5660.0034677479416</v>
      </c>
      <c r="S76">
        <f t="shared" si="39"/>
        <v>23225.069120102562</v>
      </c>
      <c r="T76">
        <f t="shared" si="39"/>
        <v>2989.2928783218795</v>
      </c>
      <c r="U76">
        <f t="shared" si="39"/>
        <v>308.43215179561957</v>
      </c>
      <c r="V76">
        <f t="shared" si="39"/>
        <v>51.026285196403478</v>
      </c>
    </row>
    <row r="77" spans="2:25" x14ac:dyDescent="0.35">
      <c r="B77" s="34">
        <f t="shared" si="27"/>
        <v>23604037.50352364</v>
      </c>
      <c r="C77" s="2">
        <f t="shared" ref="C77:K77" si="40">C60-B60</f>
        <v>5521408.429147847</v>
      </c>
      <c r="D77" s="2">
        <f t="shared" si="40"/>
        <v>245984.90072718263</v>
      </c>
      <c r="E77" s="2">
        <f t="shared" si="40"/>
        <v>46757.798441726714</v>
      </c>
      <c r="F77" s="2">
        <f t="shared" si="40"/>
        <v>7268.0002483166754</v>
      </c>
      <c r="G77" s="35">
        <f t="shared" si="40"/>
        <v>3610.3679112866521</v>
      </c>
      <c r="H77" s="2">
        <f t="shared" si="40"/>
        <v>1291.1538920663297</v>
      </c>
      <c r="I77" s="2">
        <f t="shared" si="40"/>
        <v>1333.276157066226</v>
      </c>
      <c r="J77" s="2">
        <f t="shared" si="40"/>
        <v>1248.543487187475</v>
      </c>
      <c r="K77" s="2">
        <f t="shared" si="40"/>
        <v>1209.1211639381945</v>
      </c>
      <c r="M77" s="11">
        <f>SUM(H77:K77)</f>
        <v>5082.0947002582252</v>
      </c>
      <c r="P77">
        <f t="shared" ref="P77" si="41">IF(B13&lt;=0,IF(B77&lt;=0,0,-B13*LN(B77)-B13+B77),IF(B77&lt;=0,B13*LN(B13)-B13+B77,B13*LN(B13)-B13*LN(B77)-B13+B77))</f>
        <v>6267.2049741670489</v>
      </c>
      <c r="Q77">
        <f>IF(C13&lt;=0,IF(C77&lt;=0,0,-C13*LN(C77)-C13+C77),IF(C77&lt;=0,C13*LN(C13)-C13+C77,C13*LN(C13)-C13*LN(C77)-C13+C77))</f>
        <v>12249.19724649936</v>
      </c>
      <c r="R77">
        <f>IF(D13&lt;=0,IF(D77&lt;=0,0,-D13*LN(D77)-D13+D77),IF(D77&lt;=0,D13*LN(D13)-D13+D77,D13*LN(D13)-D13*LN(D77)-D13+D77))</f>
        <v>62562.712057311088</v>
      </c>
      <c r="S77">
        <f>IF(E13&lt;=0,IF(E77&lt;=0,0,-E13*LN(E77)-E13+E77),IF(E77&lt;=0,E13*LN(E13)-E13+E77,E13*LN(E13)-E13*LN(E77)-E13+E77))</f>
        <v>6993.6704709776968</v>
      </c>
      <c r="T77">
        <f>IF(F13&lt;=0,IF(F77&lt;=0,0,-F13*LN(F77)-F13+F77),IF(F77&lt;=0,F13*LN(F13)-F13+F77,F13*LN(F13)-F13*LN(F77)-F13+F77))</f>
        <v>2342.4654226178318</v>
      </c>
      <c r="U77">
        <f>IF(G13&lt;=0,IF(G77&lt;=0,0,-G13*LN(G77)-G13+G77),IF(G77&lt;=0,G13*LN(G13)-G13+G77,G13*LN(G13)-G13*LN(G77)-G13+G77))</f>
        <v>911.25127755178255</v>
      </c>
    </row>
    <row r="78" spans="2:25" x14ac:dyDescent="0.35">
      <c r="B78" s="34">
        <f t="shared" si="27"/>
        <v>26498766.366571911</v>
      </c>
      <c r="C78" s="2">
        <f t="shared" ref="C78:K78" si="42">C61-B61</f>
        <v>6198537.515311446</v>
      </c>
      <c r="D78" s="2">
        <f t="shared" si="42"/>
        <v>276151.75637223199</v>
      </c>
      <c r="E78" s="2">
        <f t="shared" si="42"/>
        <v>52492.035590842366</v>
      </c>
      <c r="F78" s="35">
        <f t="shared" si="42"/>
        <v>8159.3261535689235</v>
      </c>
      <c r="G78" s="2">
        <f t="shared" si="42"/>
        <v>4053.1326797045767</v>
      </c>
      <c r="H78" s="2">
        <f t="shared" si="42"/>
        <v>1449.4971601366997</v>
      </c>
      <c r="I78" s="2">
        <f t="shared" si="42"/>
        <v>1496.7851742729545</v>
      </c>
      <c r="J78" s="2">
        <f t="shared" si="42"/>
        <v>1401.661142103374</v>
      </c>
      <c r="K78" s="2">
        <f t="shared" si="42"/>
        <v>1357.4041825383902</v>
      </c>
      <c r="M78" s="11">
        <f>SUM(G78:K78)</f>
        <v>9758.480338755995</v>
      </c>
      <c r="P78">
        <f>IF(B14&lt;=0,IF(B78&lt;=0,0,-B14*LN(B78)-B14+B78),IF(B78&lt;=0,B14*LN(B14)-B14+B78,B14*LN(B14)-B14*LN(B78)-B14+B78))</f>
        <v>0.70981711894273758</v>
      </c>
      <c r="Q78">
        <f>IF(C14&lt;=0,IF(C78&lt;=0,0,-C14*LN(C78)-C14+C78),IF(C78&lt;=0,C14*LN(C14)-C14+C78,C14*LN(C14)-C14*LN(C78)-C14+C78))</f>
        <v>179.16114629432559</v>
      </c>
      <c r="R78">
        <f>IF(D14&lt;=0,IF(D78&lt;=0,0,-D14*LN(D78)-D14+D78),IF(D78&lt;=0,D14*LN(D14)-D14+D78,D14*LN(D14)-D14*LN(D78)-D14+D78))</f>
        <v>7479.5349180232733</v>
      </c>
      <c r="S78">
        <f>IF(E14&lt;=0,IF(E78&lt;=0,0,-E14*LN(E78)-E14+E78),IF(E78&lt;=0,E14*LN(E14)-E14+E78,E14*LN(E14)-E14*LN(E78)-E14+E78))</f>
        <v>3852.9915217209491</v>
      </c>
      <c r="T78">
        <f>IF(F14&lt;=0,IF(F78&lt;=0,0,-F14*LN(F78)-F14+F78),IF(F78&lt;=0,F14*LN(F14)-F14+F78,F14*LN(F14)-F14*LN(F78)-F14+F78))</f>
        <v>4744.2757901613886</v>
      </c>
    </row>
    <row r="79" spans="2:25" x14ac:dyDescent="0.35">
      <c r="B79" s="34">
        <f t="shared" si="27"/>
        <v>28359996.999643248</v>
      </c>
      <c r="C79" s="2">
        <f t="shared" ref="C79:K79" si="43">C62-B62</f>
        <v>6633912.7982262485</v>
      </c>
      <c r="D79" s="2">
        <f t="shared" si="43"/>
        <v>295548.21057792008</v>
      </c>
      <c r="E79" s="35">
        <f t="shared" si="43"/>
        <v>56178.991552583873</v>
      </c>
      <c r="F79" s="2">
        <f t="shared" si="43"/>
        <v>8732.4240696057677</v>
      </c>
      <c r="G79" s="2">
        <f t="shared" si="43"/>
        <v>4337.8181854039431</v>
      </c>
      <c r="H79" s="2">
        <f t="shared" si="43"/>
        <v>1551.3075040504336</v>
      </c>
      <c r="I79" s="2">
        <f t="shared" si="43"/>
        <v>1601.9169520661235</v>
      </c>
      <c r="J79" s="2">
        <f t="shared" si="43"/>
        <v>1500.1115612238646</v>
      </c>
      <c r="K79" s="2">
        <f t="shared" si="43"/>
        <v>1452.7460641562939</v>
      </c>
      <c r="M79" s="11">
        <f>SUM(F79:K79)</f>
        <v>19176.324336506426</v>
      </c>
      <c r="P79">
        <f>IF(B15&lt;=0,IF(B79&lt;=0,0,-B15*LN(B79)-B15+B79),IF(B79&lt;=0,B15*LN(B15)-B15+B79,B15*LN(B15)-B15*LN(B79)-B15+B79))</f>
        <v>3665.825322907418</v>
      </c>
      <c r="Q79">
        <f>IF(C15&lt;=0,IF(C79&lt;=0,0,-C15*LN(C79)-C15+C79),IF(C79&lt;=0,C15*LN(C15)-C15+C79,C15*LN(C15)-C15*LN(C79)-C15+C79))</f>
        <v>11517.997694876045</v>
      </c>
      <c r="R79">
        <f>IF(D15&lt;=0,IF(D79&lt;=0,0,-D15*LN(D79)-D15+D79),IF(D79&lt;=0,D15*LN(D15)-D15+D79,D15*LN(D15)-D15*LN(D79)-D15+D79))</f>
        <v>14508.251132798381</v>
      </c>
      <c r="S79">
        <f>IF(E15&lt;=0,IF(E79&lt;=0,0,-E15*LN(E79)-E15+E79),IF(E79&lt;=0,E15*LN(E15)-E15+E79,E15*LN(E15)-E15*LN(E79)-E15+E79))</f>
        <v>16713.670803598361</v>
      </c>
    </row>
    <row r="80" spans="2:25" x14ac:dyDescent="0.35">
      <c r="B80" s="34">
        <f t="shared" si="27"/>
        <v>29791958.549241465</v>
      </c>
      <c r="C80" s="2">
        <f t="shared" ref="C80:K80" si="44">C63-B63</f>
        <v>6968874.3305059262</v>
      </c>
      <c r="D80" s="35">
        <f t="shared" si="44"/>
        <v>310471.12025260925</v>
      </c>
      <c r="E80" s="2">
        <f t="shared" si="44"/>
        <v>59015.598192542791</v>
      </c>
      <c r="F80" s="2">
        <f t="shared" si="44"/>
        <v>9173.3442679643631</v>
      </c>
      <c r="G80" s="2">
        <f t="shared" si="44"/>
        <v>4556.8446137458086</v>
      </c>
      <c r="H80" s="2">
        <f t="shared" si="44"/>
        <v>1629.6365919336677</v>
      </c>
      <c r="I80" s="2">
        <f t="shared" si="44"/>
        <v>1682.801427513361</v>
      </c>
      <c r="J80" s="2">
        <f t="shared" si="44"/>
        <v>1575.8556480705738</v>
      </c>
      <c r="K80" s="2">
        <f t="shared" si="44"/>
        <v>1526.0985579937696</v>
      </c>
      <c r="M80" s="11">
        <f>SUM(E80:K80)</f>
        <v>79160.179299764335</v>
      </c>
      <c r="P80">
        <f>IF(B16&lt;=0,IF(B80&lt;=0,0,-B16*LN(B80)-B16+B80),IF(B80&lt;=0,B16*LN(B16)-B16+B80,B16*LN(B16)-B16*LN(B80)-B16+B80))</f>
        <v>3352.9576515965164</v>
      </c>
      <c r="Q80">
        <f>IF(C16&lt;=0,IF(C80&lt;=0,0,-C16*LN(C80)-C16+C80),IF(C80&lt;=0,C16*LN(C16)-C16+C80,C16*LN(C16)-C16*LN(C80)-C16+C80))</f>
        <v>4735.529030431062</v>
      </c>
      <c r="R80">
        <f>IF(D16&lt;=0,IF(D80&lt;=0,0,-D16*LN(D80)-D16+D80),IF(D80&lt;=0,D16*LN(D16)-D16+D80,D16*LN(D16)-D16*LN(D80)-D16+D80))</f>
        <v>78597.115923602367</v>
      </c>
    </row>
    <row r="81" spans="2:27" x14ac:dyDescent="0.35">
      <c r="B81" s="34">
        <f t="shared" si="27"/>
        <v>29503101.518443305</v>
      </c>
      <c r="C81" s="35">
        <f t="shared" ref="C81:K81" si="45">C64-B64</f>
        <v>6901305.481556695</v>
      </c>
      <c r="D81" s="2">
        <f t="shared" si="45"/>
        <v>307460.85270687193</v>
      </c>
      <c r="E81" s="2">
        <f t="shared" si="45"/>
        <v>58443.394440434873</v>
      </c>
      <c r="F81" s="2">
        <f t="shared" si="45"/>
        <v>9084.4013076201081</v>
      </c>
      <c r="G81" s="2">
        <f t="shared" si="45"/>
        <v>4512.6623354032636</v>
      </c>
      <c r="H81" s="2">
        <f t="shared" si="45"/>
        <v>1613.8359527662396</v>
      </c>
      <c r="I81" s="2">
        <f t="shared" si="45"/>
        <v>1666.4853124469519</v>
      </c>
      <c r="J81" s="2">
        <f t="shared" si="45"/>
        <v>1560.5764584615827</v>
      </c>
      <c r="K81" s="2">
        <f t="shared" si="45"/>
        <v>1511.3018034473062</v>
      </c>
      <c r="M81" s="11">
        <f>SUM(D81:K81)</f>
        <v>385853.51031745225</v>
      </c>
      <c r="P81">
        <f>IF(B17&lt;=0,IF(B81&lt;=0,0,-B17*LN(B81)-B17+B81),IF(B81&lt;=0,B17*LN(B17)-B17+B81,B17*LN(B17)-B17*LN(B81)-B17+B81))</f>
        <v>10767.294644195586</v>
      </c>
      <c r="Q81">
        <f>IF(C17&lt;=0,IF(C81&lt;=0,0,-C17*LN(C81)-C17+C81),IF(C81&lt;=0,C17*LN(C17)-C17+C81,C17*LN(C17)-C17*LN(C81)-C17+C81))</f>
        <v>48352.913100343198</v>
      </c>
    </row>
    <row r="82" spans="2:27" x14ac:dyDescent="0.35">
      <c r="B82" s="36">
        <f t="shared" si="27"/>
        <v>29373189</v>
      </c>
      <c r="C82" s="2">
        <f t="shared" ref="C82:K82" si="46">C65-B65</f>
        <v>6870916.6095563993</v>
      </c>
      <c r="D82" s="2">
        <f t="shared" si="46"/>
        <v>306106.994582057</v>
      </c>
      <c r="E82" s="2">
        <f t="shared" si="46"/>
        <v>58186.047647468746</v>
      </c>
      <c r="F82" s="2">
        <f t="shared" si="46"/>
        <v>9044.3994979262352</v>
      </c>
      <c r="G82" s="2">
        <f t="shared" si="46"/>
        <v>4492.7914981469512</v>
      </c>
      <c r="H82" s="2">
        <f t="shared" si="46"/>
        <v>1606.7296662330627</v>
      </c>
      <c r="I82" s="2">
        <f t="shared" si="46"/>
        <v>1659.1471922919154</v>
      </c>
      <c r="J82" s="2">
        <f t="shared" si="46"/>
        <v>1553.7046921923757</v>
      </c>
      <c r="K82" s="2">
        <f t="shared" si="46"/>
        <v>1504.6470107883215</v>
      </c>
      <c r="M82" s="11">
        <f>SUM(C82:K82)</f>
        <v>7255071.0713435039</v>
      </c>
      <c r="P82">
        <f>IF(B18&lt;=0,IF(B82&lt;=0,0,-B18*LN(B82)-B18+B82),IF(B82&lt;=0,B18*LN(B18)-B18+B82,B18*LN(B18)-B18*LN(B82)-B18+B82))</f>
        <v>0</v>
      </c>
      <c r="Z82">
        <f>SUM(P73:X82)*2</f>
        <v>1003053.7022406072</v>
      </c>
      <c r="AA82" t="s">
        <v>3</v>
      </c>
    </row>
    <row r="83" spans="2:27" x14ac:dyDescent="0.35">
      <c r="M83" s="11"/>
      <c r="Z83">
        <f>Z82/(55-19)</f>
        <v>27862.602840016869</v>
      </c>
      <c r="AA83" t="s">
        <v>4</v>
      </c>
    </row>
    <row r="84" spans="2:27" x14ac:dyDescent="0.35">
      <c r="L84" t="s">
        <v>5</v>
      </c>
      <c r="M84" s="11">
        <f>SUM(M73:M82)</f>
        <v>7761561.1843685098</v>
      </c>
    </row>
    <row r="85" spans="2:27" x14ac:dyDescent="0.35">
      <c r="B85" s="16" t="s">
        <v>41</v>
      </c>
      <c r="O85" t="s">
        <v>6</v>
      </c>
    </row>
    <row r="87" spans="2:27" x14ac:dyDescent="0.35">
      <c r="B87">
        <f>(B9-B73)/SQRT(B73)</f>
        <v>-12.403087261589448</v>
      </c>
      <c r="C87">
        <f t="shared" ref="C87:K88" si="47">(C9-C73)/SQRT(C73)</f>
        <v>113.10194491907161</v>
      </c>
      <c r="D87">
        <f t="shared" si="47"/>
        <v>-371.68907650475467</v>
      </c>
      <c r="E87">
        <f t="shared" si="47"/>
        <v>-110.54255953496471</v>
      </c>
      <c r="F87">
        <f t="shared" si="47"/>
        <v>54.339635692151852</v>
      </c>
      <c r="G87">
        <f t="shared" si="47"/>
        <v>-27.241917137289118</v>
      </c>
      <c r="H87">
        <f t="shared" si="47"/>
        <v>-0.18595192505263319</v>
      </c>
      <c r="I87">
        <f t="shared" si="47"/>
        <v>-12.130825380341976</v>
      </c>
      <c r="J87">
        <f t="shared" si="47"/>
        <v>5.6346393317047125</v>
      </c>
      <c r="K87">
        <f t="shared" si="47"/>
        <v>0</v>
      </c>
      <c r="O87">
        <f>B87^2</f>
        <v>153.83657361860244</v>
      </c>
      <c r="P87">
        <f t="shared" ref="P87" si="48">C87^2</f>
        <v>12792.049944476708</v>
      </c>
      <c r="Q87">
        <f t="shared" ref="Q87:Q96" si="49">D87^2</f>
        <v>138152.76959295737</v>
      </c>
      <c r="R87">
        <f t="shared" ref="R87:R96" si="50">E87^2</f>
        <v>12219.657468541218</v>
      </c>
      <c r="S87">
        <f t="shared" ref="S87:S96" si="51">F87^2</f>
        <v>2952.7960071557836</v>
      </c>
      <c r="T87">
        <f t="shared" ref="T87:T96" si="52">G87^2</f>
        <v>742.12204931492647</v>
      </c>
      <c r="U87">
        <f t="shared" ref="U87:U96" si="53">H87^2</f>
        <v>3.4578118430780111E-2</v>
      </c>
      <c r="V87">
        <f t="shared" ref="V87:V96" si="54">I87^2</f>
        <v>147.15692440834906</v>
      </c>
      <c r="W87">
        <f t="shared" ref="W87:W96" si="55">J87^2</f>
        <v>31.74916039839373</v>
      </c>
      <c r="X87">
        <f t="shared" ref="X87:X96" si="56">K87^2</f>
        <v>0</v>
      </c>
    </row>
    <row r="88" spans="2:27" x14ac:dyDescent="0.35">
      <c r="B88">
        <f t="shared" ref="B88:I96" si="57">(B10-B74)/SQRT(B74)</f>
        <v>-26.719944678780788</v>
      </c>
      <c r="C88">
        <f t="shared" si="57"/>
        <v>80.038566526313062</v>
      </c>
      <c r="D88">
        <f t="shared" si="57"/>
        <v>-88.146969727086145</v>
      </c>
      <c r="E88">
        <f t="shared" si="57"/>
        <v>-45.301367144425861</v>
      </c>
      <c r="F88">
        <f t="shared" si="57"/>
        <v>-30.763971844682441</v>
      </c>
      <c r="G88">
        <f t="shared" si="57"/>
        <v>-23.58916770821406</v>
      </c>
      <c r="H88">
        <f t="shared" si="57"/>
        <v>-6.0224721290711845</v>
      </c>
      <c r="I88">
        <f t="shared" si="57"/>
        <v>-8.3656034282532552</v>
      </c>
      <c r="J88">
        <f t="shared" si="47"/>
        <v>-5.0952863359008473</v>
      </c>
      <c r="O88">
        <f t="shared" ref="O88:P96" si="58">B88^2</f>
        <v>713.95544363710576</v>
      </c>
      <c r="P88">
        <f t="shared" si="58"/>
        <v>6406.1721315870418</v>
      </c>
      <c r="Q88">
        <f t="shared" si="49"/>
        <v>7769.8882720678412</v>
      </c>
      <c r="R88">
        <f t="shared" si="50"/>
        <v>2052.2138651540668</v>
      </c>
      <c r="S88">
        <f t="shared" si="51"/>
        <v>946.42196366041401</v>
      </c>
      <c r="T88">
        <f t="shared" si="52"/>
        <v>556.44883316624896</v>
      </c>
      <c r="U88">
        <f t="shared" si="53"/>
        <v>36.270170545439207</v>
      </c>
      <c r="V88">
        <f t="shared" si="54"/>
        <v>69.983320718802617</v>
      </c>
      <c r="W88">
        <f t="shared" si="55"/>
        <v>25.961942844817884</v>
      </c>
      <c r="X88">
        <f t="shared" si="56"/>
        <v>0</v>
      </c>
    </row>
    <row r="89" spans="2:27" x14ac:dyDescent="0.35">
      <c r="B89">
        <f t="shared" si="57"/>
        <v>-16.340823269754086</v>
      </c>
      <c r="C89">
        <f t="shared" si="57"/>
        <v>6.0647514179912392</v>
      </c>
      <c r="D89">
        <f t="shared" si="57"/>
        <v>-15.268936510883218</v>
      </c>
      <c r="E89">
        <f t="shared" si="57"/>
        <v>266.66178067522202</v>
      </c>
      <c r="F89">
        <f t="shared" si="57"/>
        <v>187.64978165381245</v>
      </c>
      <c r="G89">
        <f t="shared" si="57"/>
        <v>-25.194612491653164</v>
      </c>
      <c r="H89">
        <f t="shared" si="57"/>
        <v>-4.3069225835030238</v>
      </c>
      <c r="I89">
        <f t="shared" si="57"/>
        <v>19.763020339406687</v>
      </c>
      <c r="O89">
        <f t="shared" si="58"/>
        <v>267.02250513333661</v>
      </c>
      <c r="P89">
        <f t="shared" si="58"/>
        <v>36.781209762026748</v>
      </c>
      <c r="Q89">
        <f t="shared" si="49"/>
        <v>233.1404221733826</v>
      </c>
      <c r="R89">
        <f t="shared" si="50"/>
        <v>71108.505272880211</v>
      </c>
      <c r="S89">
        <f t="shared" si="51"/>
        <v>35212.440554723486</v>
      </c>
      <c r="T89">
        <f t="shared" si="52"/>
        <v>634.76849860456559</v>
      </c>
      <c r="U89">
        <f t="shared" si="53"/>
        <v>18.549582140288361</v>
      </c>
      <c r="V89">
        <f t="shared" si="54"/>
        <v>390.57697293580242</v>
      </c>
      <c r="W89">
        <f t="shared" si="55"/>
        <v>0</v>
      </c>
      <c r="X89">
        <f t="shared" si="56"/>
        <v>0</v>
      </c>
    </row>
    <row r="90" spans="2:27" x14ac:dyDescent="0.35">
      <c r="B90">
        <f t="shared" si="57"/>
        <v>1.5817935875543898</v>
      </c>
      <c r="C90">
        <f t="shared" si="57"/>
        <v>-47.928411760038927</v>
      </c>
      <c r="D90">
        <f t="shared" si="57"/>
        <v>110.13612181816333</v>
      </c>
      <c r="E90">
        <f t="shared" si="57"/>
        <v>248.94870181901629</v>
      </c>
      <c r="F90">
        <f t="shared" si="57"/>
        <v>-64.415482052912324</v>
      </c>
      <c r="G90">
        <f t="shared" si="57"/>
        <v>26.49496655175373</v>
      </c>
      <c r="H90">
        <f t="shared" si="57"/>
        <v>10.565246117935031</v>
      </c>
      <c r="O90">
        <f t="shared" si="58"/>
        <v>2.5020709536281869</v>
      </c>
      <c r="P90">
        <f t="shared" si="58"/>
        <v>2297.1326538398375</v>
      </c>
      <c r="Q90">
        <f t="shared" si="49"/>
        <v>12129.965329145312</v>
      </c>
      <c r="R90">
        <f t="shared" si="50"/>
        <v>61975.456137373483</v>
      </c>
      <c r="S90">
        <f t="shared" si="51"/>
        <v>4149.3543281090697</v>
      </c>
      <c r="T90">
        <f t="shared" si="52"/>
        <v>701.98325257854901</v>
      </c>
      <c r="U90">
        <f t="shared" si="53"/>
        <v>111.62442553254124</v>
      </c>
      <c r="V90">
        <f t="shared" si="54"/>
        <v>0</v>
      </c>
      <c r="W90">
        <f t="shared" si="55"/>
        <v>0</v>
      </c>
      <c r="X90">
        <f t="shared" si="56"/>
        <v>0</v>
      </c>
    </row>
    <row r="91" spans="2:27" x14ac:dyDescent="0.35">
      <c r="B91">
        <f t="shared" si="57"/>
        <v>-111.52635710970014</v>
      </c>
      <c r="C91">
        <f t="shared" si="57"/>
        <v>158.24779811911617</v>
      </c>
      <c r="D91">
        <f t="shared" si="57"/>
        <v>393.66016318119813</v>
      </c>
      <c r="E91">
        <f t="shared" si="57"/>
        <v>-106.90565016347826</v>
      </c>
      <c r="F91">
        <f t="shared" si="57"/>
        <v>-58.485045088601694</v>
      </c>
      <c r="G91">
        <f t="shared" si="57"/>
        <v>47.49219580338746</v>
      </c>
      <c r="O91">
        <f t="shared" si="58"/>
        <v>12438.128330160363</v>
      </c>
      <c r="P91">
        <f t="shared" si="58"/>
        <v>25042.365609548546</v>
      </c>
      <c r="Q91">
        <f t="shared" si="49"/>
        <v>154968.32407584754</v>
      </c>
      <c r="R91">
        <f t="shared" si="50"/>
        <v>11428.818036875999</v>
      </c>
      <c r="S91">
        <f t="shared" si="51"/>
        <v>3420.5004990157731</v>
      </c>
      <c r="T91">
        <f t="shared" si="52"/>
        <v>2255.5086622272934</v>
      </c>
      <c r="U91">
        <f t="shared" si="53"/>
        <v>0</v>
      </c>
      <c r="V91">
        <f t="shared" si="54"/>
        <v>0</v>
      </c>
      <c r="W91">
        <f t="shared" si="55"/>
        <v>0</v>
      </c>
      <c r="X91">
        <f t="shared" si="56"/>
        <v>0</v>
      </c>
    </row>
    <row r="92" spans="2:27" x14ac:dyDescent="0.35">
      <c r="B92">
        <f t="shared" si="57"/>
        <v>1.1915300212146014</v>
      </c>
      <c r="C92">
        <f t="shared" si="57"/>
        <v>-18.905400518631161</v>
      </c>
      <c r="D92">
        <f t="shared" si="57"/>
        <v>126.96491275424518</v>
      </c>
      <c r="E92">
        <f t="shared" si="57"/>
        <v>-81.977741991255073</v>
      </c>
      <c r="F92">
        <f t="shared" si="57"/>
        <v>-77.531324927902347</v>
      </c>
      <c r="O92">
        <f t="shared" si="58"/>
        <v>1.4197437914556685</v>
      </c>
      <c r="P92">
        <f t="shared" si="58"/>
        <v>357.41416876985937</v>
      </c>
      <c r="Q92">
        <f t="shared" si="49"/>
        <v>16120.08907069309</v>
      </c>
      <c r="R92">
        <f t="shared" si="50"/>
        <v>6720.3501819847852</v>
      </c>
      <c r="S92">
        <f t="shared" si="51"/>
        <v>6011.1063450759721</v>
      </c>
      <c r="T92">
        <f t="shared" si="52"/>
        <v>0</v>
      </c>
      <c r="U92">
        <f t="shared" si="53"/>
        <v>0</v>
      </c>
      <c r="V92">
        <f t="shared" si="54"/>
        <v>0</v>
      </c>
      <c r="W92">
        <f t="shared" si="55"/>
        <v>0</v>
      </c>
      <c r="X92">
        <f t="shared" si="56"/>
        <v>0</v>
      </c>
    </row>
    <row r="93" spans="2:27" x14ac:dyDescent="0.35">
      <c r="B93">
        <f t="shared" si="57"/>
        <v>-85.395294802921754</v>
      </c>
      <c r="C93">
        <f t="shared" si="57"/>
        <v>153.25956188645105</v>
      </c>
      <c r="D93">
        <f t="shared" si="57"/>
        <v>179.02319581016158</v>
      </c>
      <c r="E93">
        <f t="shared" si="57"/>
        <v>-157.37415348070408</v>
      </c>
      <c r="O93">
        <f t="shared" si="58"/>
        <v>7292.3563744779149</v>
      </c>
      <c r="P93">
        <f t="shared" si="58"/>
        <v>23488.49330962692</v>
      </c>
      <c r="Q93">
        <f t="shared" si="49"/>
        <v>32049.304638083457</v>
      </c>
      <c r="R93">
        <f t="shared" si="50"/>
        <v>24766.624183768203</v>
      </c>
      <c r="S93">
        <f t="shared" si="51"/>
        <v>0</v>
      </c>
      <c r="T93">
        <f t="shared" si="52"/>
        <v>0</v>
      </c>
      <c r="U93">
        <f t="shared" si="53"/>
        <v>0</v>
      </c>
      <c r="V93">
        <f t="shared" si="54"/>
        <v>0</v>
      </c>
      <c r="W93">
        <f t="shared" si="55"/>
        <v>0</v>
      </c>
      <c r="X93">
        <f t="shared" si="56"/>
        <v>0</v>
      </c>
    </row>
    <row r="94" spans="2:27" x14ac:dyDescent="0.35">
      <c r="B94">
        <f t="shared" si="57"/>
        <v>82.094163957002237</v>
      </c>
      <c r="C94">
        <f t="shared" si="57"/>
        <v>-96.719554445625747</v>
      </c>
      <c r="D94">
        <f t="shared" si="57"/>
        <v>-345.94462254997347</v>
      </c>
      <c r="O94">
        <f t="shared" si="58"/>
        <v>6739.4517557991649</v>
      </c>
      <c r="P94">
        <f t="shared" si="58"/>
        <v>9354.6722121603634</v>
      </c>
      <c r="Q94">
        <f t="shared" si="49"/>
        <v>119677.68187124362</v>
      </c>
      <c r="R94">
        <f t="shared" si="50"/>
        <v>0</v>
      </c>
      <c r="S94">
        <f t="shared" si="51"/>
        <v>0</v>
      </c>
      <c r="T94">
        <f t="shared" si="52"/>
        <v>0</v>
      </c>
      <c r="U94">
        <f t="shared" si="53"/>
        <v>0</v>
      </c>
      <c r="V94">
        <f t="shared" si="54"/>
        <v>0</v>
      </c>
      <c r="W94">
        <f t="shared" si="55"/>
        <v>0</v>
      </c>
      <c r="X94">
        <f t="shared" si="56"/>
        <v>0</v>
      </c>
    </row>
    <row r="95" spans="2:27" x14ac:dyDescent="0.35">
      <c r="B95">
        <f t="shared" si="57"/>
        <v>147.40597884005891</v>
      </c>
      <c r="C95">
        <f t="shared" si="57"/>
        <v>-304.7777861263429</v>
      </c>
      <c r="O95">
        <f t="shared" si="58"/>
        <v>21728.522597795894</v>
      </c>
      <c r="P95">
        <f t="shared" si="58"/>
        <v>92889.498916074823</v>
      </c>
      <c r="Q95">
        <f t="shared" si="49"/>
        <v>0</v>
      </c>
      <c r="R95">
        <f t="shared" si="50"/>
        <v>0</v>
      </c>
      <c r="S95">
        <f t="shared" si="51"/>
        <v>0</v>
      </c>
      <c r="T95">
        <f t="shared" si="52"/>
        <v>0</v>
      </c>
      <c r="U95">
        <f t="shared" si="53"/>
        <v>0</v>
      </c>
      <c r="V95">
        <f t="shared" si="54"/>
        <v>0</v>
      </c>
      <c r="W95">
        <f t="shared" si="55"/>
        <v>0</v>
      </c>
      <c r="X95">
        <f t="shared" si="56"/>
        <v>0</v>
      </c>
    </row>
    <row r="96" spans="2:27" x14ac:dyDescent="0.35">
      <c r="B96">
        <f t="shared" si="57"/>
        <v>0</v>
      </c>
      <c r="O96">
        <f t="shared" si="58"/>
        <v>0</v>
      </c>
      <c r="P96">
        <f t="shared" si="58"/>
        <v>0</v>
      </c>
      <c r="Q96">
        <f t="shared" si="49"/>
        <v>0</v>
      </c>
      <c r="R96">
        <f t="shared" si="50"/>
        <v>0</v>
      </c>
      <c r="S96">
        <f t="shared" si="51"/>
        <v>0</v>
      </c>
      <c r="T96">
        <f t="shared" si="52"/>
        <v>0</v>
      </c>
      <c r="U96">
        <f t="shared" si="53"/>
        <v>0</v>
      </c>
      <c r="V96">
        <f t="shared" si="54"/>
        <v>0</v>
      </c>
      <c r="W96">
        <f t="shared" si="55"/>
        <v>0</v>
      </c>
      <c r="X96">
        <f t="shared" si="56"/>
        <v>0</v>
      </c>
    </row>
    <row r="98" spans="2:17" x14ac:dyDescent="0.35">
      <c r="O98" t="s">
        <v>7</v>
      </c>
      <c r="Q98">
        <f>SUM(O87:X96)</f>
        <v>951789.92204127822</v>
      </c>
    </row>
    <row r="99" spans="2:17" x14ac:dyDescent="0.35">
      <c r="B99" s="16" t="s">
        <v>44</v>
      </c>
    </row>
    <row r="101" spans="2:17" x14ac:dyDescent="0.35">
      <c r="B101">
        <f t="shared" ref="B101:B110" ca="1" si="59">E200</f>
        <v>-38.025286908597913</v>
      </c>
      <c r="C101">
        <f t="shared" ref="C101:C109" ca="1" si="60">E210</f>
        <v>-427.59899772899888</v>
      </c>
      <c r="D101">
        <f t="shared" ref="D101:D108" ca="1" si="61">E219</f>
        <v>-108.95257058868056</v>
      </c>
      <c r="E101">
        <f t="shared" ref="E101:E107" ca="1" si="62">E227</f>
        <v>-14.994101472152304</v>
      </c>
      <c r="F101">
        <f t="shared" ref="F101:F106" ca="1" si="63">E234</f>
        <v>-59.241102463949773</v>
      </c>
      <c r="G101">
        <f ca="1">E240</f>
        <v>195.59951349953485</v>
      </c>
      <c r="H101">
        <f ca="1">E245</f>
        <v>156.93283231371097</v>
      </c>
      <c r="I101">
        <f ca="1">E249</f>
        <v>-23.367700454034996</v>
      </c>
      <c r="J101">
        <f ca="1">E252</f>
        <v>58.701925110988839</v>
      </c>
      <c r="K101">
        <f ca="1">E254</f>
        <v>-20.19779813517464</v>
      </c>
    </row>
    <row r="102" spans="2:17" x14ac:dyDescent="0.35">
      <c r="B102">
        <f t="shared" ca="1" si="59"/>
        <v>-55.993988413309367</v>
      </c>
      <c r="C102">
        <f t="shared" ca="1" si="60"/>
        <v>-95.83128243880526</v>
      </c>
      <c r="D102">
        <f t="shared" ca="1" si="61"/>
        <v>-55.993988413309367</v>
      </c>
      <c r="E102">
        <f t="shared" ca="1" si="62"/>
        <v>-376.71542606175825</v>
      </c>
      <c r="F102">
        <f t="shared" ca="1" si="63"/>
        <v>221.27859232039179</v>
      </c>
      <c r="G102">
        <f ca="1">E241</f>
        <v>-194.51965982525968</v>
      </c>
      <c r="H102">
        <f ca="1">E246</f>
        <v>-108.95257058868056</v>
      </c>
      <c r="I102">
        <f ca="1">E250</f>
        <v>-31.141374507259943</v>
      </c>
      <c r="J102">
        <f ca="1">E253</f>
        <v>-105.55140935375273</v>
      </c>
    </row>
    <row r="103" spans="2:17" x14ac:dyDescent="0.35">
      <c r="B103">
        <f t="shared" ca="1" si="59"/>
        <v>-105.55140935375273</v>
      </c>
      <c r="C103">
        <f t="shared" ca="1" si="60"/>
        <v>-105.55140935375273</v>
      </c>
      <c r="D103">
        <f t="shared" ca="1" si="61"/>
        <v>-136.63426046381457</v>
      </c>
      <c r="E103">
        <f t="shared" ca="1" si="62"/>
        <v>-72.289450483968238</v>
      </c>
      <c r="F103">
        <f t="shared" ca="1" si="63"/>
        <v>13.058993712603849</v>
      </c>
      <c r="G103">
        <f ca="1">E242</f>
        <v>7.4962333817863165</v>
      </c>
      <c r="H103">
        <f ca="1">E247</f>
        <v>-427.59899772899888</v>
      </c>
      <c r="I103">
        <f ca="1">E251</f>
        <v>-23.367700454034996</v>
      </c>
    </row>
    <row r="104" spans="2:17" x14ac:dyDescent="0.35">
      <c r="B104">
        <f t="shared" ca="1" si="59"/>
        <v>-79.61966675772436</v>
      </c>
      <c r="C104">
        <f t="shared" ca="1" si="60"/>
        <v>-18.872910641928641</v>
      </c>
      <c r="D104">
        <f t="shared" ca="1" si="61"/>
        <v>-108.95257058868056</v>
      </c>
      <c r="E104">
        <f t="shared" ca="1" si="62"/>
        <v>24.427746923591446</v>
      </c>
      <c r="F104">
        <f t="shared" ca="1" si="63"/>
        <v>-18.872910641928641</v>
      </c>
      <c r="G104">
        <f ca="1">E243</f>
        <v>-23.367700454034996</v>
      </c>
      <c r="H104">
        <f ca="1">E248</f>
        <v>189.43388849920706</v>
      </c>
    </row>
    <row r="105" spans="2:17" x14ac:dyDescent="0.35">
      <c r="B105">
        <f t="shared" ca="1" si="59"/>
        <v>58.701925110988839</v>
      </c>
      <c r="C105">
        <f t="shared" ca="1" si="60"/>
        <v>-23.367700454034996</v>
      </c>
      <c r="D105">
        <f t="shared" ca="1" si="61"/>
        <v>-427.59899772899888</v>
      </c>
      <c r="E105">
        <f t="shared" ca="1" si="62"/>
        <v>67.165587334910995</v>
      </c>
      <c r="F105">
        <f t="shared" ca="1" si="63"/>
        <v>58.701925110988839</v>
      </c>
      <c r="G105">
        <f ca="1">E244</f>
        <v>-427.59899772899888</v>
      </c>
    </row>
    <row r="106" spans="2:17" x14ac:dyDescent="0.35">
      <c r="B106">
        <f t="shared" ca="1" si="59"/>
        <v>-55.993988413309367</v>
      </c>
      <c r="C106">
        <f t="shared" ca="1" si="60"/>
        <v>-194.51965982525968</v>
      </c>
      <c r="D106">
        <f t="shared" ca="1" si="61"/>
        <v>98.930315996958072</v>
      </c>
      <c r="E106">
        <f t="shared" ca="1" si="62"/>
        <v>307.70883096576961</v>
      </c>
      <c r="F106">
        <f t="shared" ca="1" si="63"/>
        <v>98.930315996958072</v>
      </c>
    </row>
    <row r="107" spans="2:17" x14ac:dyDescent="0.35">
      <c r="B107">
        <f t="shared" ca="1" si="59"/>
        <v>-23.367700454034996</v>
      </c>
      <c r="C107">
        <f t="shared" ca="1" si="60"/>
        <v>-38.025286908597913</v>
      </c>
      <c r="D107">
        <f t="shared" ca="1" si="61"/>
        <v>101.47110242288387</v>
      </c>
      <c r="E107">
        <f t="shared" ca="1" si="62"/>
        <v>-105.55140935375273</v>
      </c>
    </row>
    <row r="108" spans="2:17" x14ac:dyDescent="0.35">
      <c r="B108">
        <f t="shared" ca="1" si="59"/>
        <v>221.27859232039179</v>
      </c>
      <c r="C108">
        <f t="shared" ca="1" si="60"/>
        <v>-137.85026681137478</v>
      </c>
      <c r="D108">
        <f t="shared" ca="1" si="61"/>
        <v>329.60278240163615</v>
      </c>
    </row>
    <row r="109" spans="2:17" x14ac:dyDescent="0.35">
      <c r="B109">
        <f t="shared" ca="1" si="59"/>
        <v>7.4962333817863165</v>
      </c>
      <c r="C109">
        <f t="shared" ca="1" si="60"/>
        <v>-5.3234987913022112</v>
      </c>
    </row>
    <row r="110" spans="2:17" x14ac:dyDescent="0.35">
      <c r="B110">
        <f t="shared" ca="1" si="59"/>
        <v>-132.13892016739428</v>
      </c>
    </row>
    <row r="113" spans="2:30" x14ac:dyDescent="0.35">
      <c r="B113" s="16" t="s">
        <v>42</v>
      </c>
      <c r="AD113" t="s">
        <v>8</v>
      </c>
    </row>
    <row r="115" spans="2:30" x14ac:dyDescent="0.35">
      <c r="B115">
        <f t="shared" ref="B115:K115" ca="1" si="64">B101*SQRT(B73)+B73</f>
        <v>19722962.234638602</v>
      </c>
      <c r="C115">
        <f t="shared" ca="1" si="64"/>
        <v>3730838.6304666335</v>
      </c>
      <c r="D115">
        <f t="shared" ca="1" si="64"/>
        <v>157699.34269715752</v>
      </c>
      <c r="E115">
        <f t="shared" ca="1" si="64"/>
        <v>36429.18545903355</v>
      </c>
      <c r="F115">
        <f t="shared" ca="1" si="64"/>
        <v>1488.7660945916814</v>
      </c>
      <c r="G115">
        <f t="shared" ca="1" si="64"/>
        <v>13832.036714623249</v>
      </c>
      <c r="H115">
        <f t="shared" ca="1" si="64"/>
        <v>6264.8578167828773</v>
      </c>
      <c r="I115">
        <f t="shared" ca="1" si="64"/>
        <v>340.33281231469471</v>
      </c>
      <c r="J115">
        <f t="shared" ca="1" si="64"/>
        <v>2956.396409409148</v>
      </c>
      <c r="K115">
        <f t="shared" ca="1" si="64"/>
        <v>374.25034358292191</v>
      </c>
      <c r="AD115">
        <f>IF(P9&lt;=0,IF(P115&lt;=0,0,-P9*LN(P115)-P9+P115),IF(P115&lt;=0,P9*LN(P9)-P9+P115,P9*LN(P9)-P9*LN(P115)-P9+P115))</f>
        <v>0</v>
      </c>
    </row>
    <row r="116" spans="2:30" x14ac:dyDescent="0.35">
      <c r="B116">
        <f t="shared" ref="B116:J116" ca="1" si="65">B102*SQRT(B74)+B74</f>
        <v>24050665.83759097</v>
      </c>
      <c r="C116">
        <f t="shared" ca="1" si="65"/>
        <v>5461882.088664202</v>
      </c>
      <c r="D116">
        <f t="shared" ca="1" si="65"/>
        <v>225324.192279034</v>
      </c>
      <c r="E116">
        <f t="shared" ca="1" si="65"/>
        <v>-34507.456712482715</v>
      </c>
      <c r="F116">
        <f t="shared" ca="1" si="65"/>
        <v>26641.786804778352</v>
      </c>
      <c r="G116">
        <f t="shared" ca="1" si="65"/>
        <v>-8144.6544669706036</v>
      </c>
      <c r="H116">
        <f t="shared" ca="1" si="65"/>
        <v>-2643.7506472858913</v>
      </c>
      <c r="I116">
        <f t="shared" ca="1" si="65"/>
        <v>219.72709142471217</v>
      </c>
      <c r="J116">
        <f t="shared" ca="1" si="65"/>
        <v>-2499.5284744645073</v>
      </c>
    </row>
    <row r="117" spans="2:30" x14ac:dyDescent="0.35">
      <c r="B117">
        <f t="shared" ref="B117:I117" ca="1" si="66">B103*SQRT(B75)+B75</f>
        <v>22775806.174361221</v>
      </c>
      <c r="C117">
        <f t="shared" ca="1" si="66"/>
        <v>5200472.6511034248</v>
      </c>
      <c r="D117">
        <f t="shared" ca="1" si="66"/>
        <v>175354.60080266692</v>
      </c>
      <c r="E117">
        <f t="shared" ca="1" si="66"/>
        <v>30600.494491069025</v>
      </c>
      <c r="F117">
        <f t="shared" ca="1" si="66"/>
        <v>8275.5743696905647</v>
      </c>
      <c r="G117">
        <f t="shared" ca="1" si="66"/>
        <v>4008.9591564969724</v>
      </c>
      <c r="H117">
        <f t="shared" ca="1" si="66"/>
        <v>-13986.902671971282</v>
      </c>
      <c r="I117">
        <f t="shared" ca="1" si="66"/>
        <v>467.79719059451543</v>
      </c>
    </row>
    <row r="118" spans="2:30" x14ac:dyDescent="0.35">
      <c r="B118">
        <f t="shared" ref="B118:H118" ca="1" si="67">B104*SQRT(B76)+B76</f>
        <v>23204710.297860958</v>
      </c>
      <c r="C118">
        <f t="shared" ca="1" si="67"/>
        <v>5474124.444955009</v>
      </c>
      <c r="D118">
        <f t="shared" ca="1" si="67"/>
        <v>191830.89794969003</v>
      </c>
      <c r="E118">
        <f t="shared" ca="1" si="67"/>
        <v>52013.561787986335</v>
      </c>
      <c r="F118">
        <f t="shared" ca="1" si="67"/>
        <v>5655.584185947022</v>
      </c>
      <c r="G118">
        <f t="shared" ca="1" si="67"/>
        <v>2204.7351548877605</v>
      </c>
      <c r="H118">
        <f t="shared" ca="1" si="67"/>
        <v>8095.5041757733252</v>
      </c>
    </row>
    <row r="119" spans="2:30" x14ac:dyDescent="0.35">
      <c r="B119">
        <f t="shared" ref="B119:G119" ca="1" si="68">B105*SQRT(B77)+B77</f>
        <v>23889234.857605007</v>
      </c>
      <c r="C119">
        <f t="shared" ca="1" si="68"/>
        <v>5466499.7604768788</v>
      </c>
      <c r="D119">
        <f t="shared" ca="1" si="68"/>
        <v>33909.203537237539</v>
      </c>
      <c r="E119">
        <f t="shared" ca="1" si="68"/>
        <v>61281.383886154013</v>
      </c>
      <c r="F119">
        <f t="shared" ca="1" si="68"/>
        <v>12272.490075359656</v>
      </c>
      <c r="G119">
        <f t="shared" ca="1" si="68"/>
        <v>-22082.489628353651</v>
      </c>
    </row>
    <row r="120" spans="2:30" x14ac:dyDescent="0.35">
      <c r="B120">
        <f ca="1">B106*SQRT(B78)+B78</f>
        <v>26210526.378498573</v>
      </c>
      <c r="C120">
        <f ca="1">C106*SQRT(C78)+C78</f>
        <v>5714244.5971138356</v>
      </c>
      <c r="D120">
        <f ca="1">D106*SQRT(D78)+D78</f>
        <v>328139.77922280825</v>
      </c>
      <c r="E120">
        <f ca="1">E106*SQRT(E78)+E78</f>
        <v>122991.63797598852</v>
      </c>
      <c r="F120">
        <f ca="1">F106*SQRT(F78)+F78</f>
        <v>17095.601524157766</v>
      </c>
    </row>
    <row r="121" spans="2:30" x14ac:dyDescent="0.35">
      <c r="B121">
        <f ca="1">B107*SQRT(B79)+B79</f>
        <v>28235554.402271017</v>
      </c>
      <c r="C121">
        <f ca="1">C107*SQRT(C79)+C79</f>
        <v>6535973.4118197253</v>
      </c>
      <c r="D121">
        <f ca="1">D107*SQRT(D79)+D79</f>
        <v>350712.31169365341</v>
      </c>
      <c r="E121">
        <f ca="1">E107*SQRT(E79)+E79</f>
        <v>31161.082692788823</v>
      </c>
    </row>
    <row r="122" spans="2:30" x14ac:dyDescent="0.35">
      <c r="B122">
        <f ca="1">B108*SQRT(B80)+B80</f>
        <v>30999741.591086209</v>
      </c>
      <c r="C122">
        <f ca="1">C108*SQRT(C80)+C80</f>
        <v>6604968.5723999133</v>
      </c>
      <c r="D122">
        <f ca="1">D108*SQRT(D80)+D80</f>
        <v>494125.57772912673</v>
      </c>
    </row>
    <row r="123" spans="2:30" x14ac:dyDescent="0.35">
      <c r="B123">
        <f ca="1">B109*SQRT(B81)+B81</f>
        <v>29543818.627564557</v>
      </c>
      <c r="C123">
        <f ca="1">C109*SQRT(C81)+C81</f>
        <v>6887320.4714170704</v>
      </c>
    </row>
    <row r="124" spans="2:30" x14ac:dyDescent="0.35">
      <c r="B124">
        <f ca="1">B110*SQRT(B82)+B82</f>
        <v>28657035.19565101</v>
      </c>
    </row>
    <row r="127" spans="2:30" x14ac:dyDescent="0.35">
      <c r="B127" s="16" t="s">
        <v>43</v>
      </c>
    </row>
    <row r="129" spans="2:11" x14ac:dyDescent="0.35">
      <c r="B129">
        <f ca="1">B115</f>
        <v>19722962.234638602</v>
      </c>
      <c r="C129">
        <f ca="1">C115+B129</f>
        <v>23453800.865105234</v>
      </c>
      <c r="D129">
        <f t="shared" ref="D129:K130" ca="1" si="69">D115+C129</f>
        <v>23611500.207802393</v>
      </c>
      <c r="E129">
        <f t="shared" ca="1" si="69"/>
        <v>23647929.393261425</v>
      </c>
      <c r="F129">
        <f t="shared" ca="1" si="69"/>
        <v>23649418.159356017</v>
      </c>
      <c r="G129">
        <f t="shared" ca="1" si="69"/>
        <v>23663250.196070641</v>
      </c>
      <c r="H129">
        <f t="shared" ca="1" si="69"/>
        <v>23669515.053887423</v>
      </c>
      <c r="I129">
        <f t="shared" ca="1" si="69"/>
        <v>23669855.386699736</v>
      </c>
      <c r="J129">
        <f t="shared" ca="1" si="69"/>
        <v>23672811.783109147</v>
      </c>
      <c r="K129">
        <f t="shared" ca="1" si="69"/>
        <v>23673186.033452731</v>
      </c>
    </row>
    <row r="130" spans="2:11" x14ac:dyDescent="0.35">
      <c r="B130">
        <f t="shared" ref="B130:B138" ca="1" si="70">B116</f>
        <v>24050665.83759097</v>
      </c>
      <c r="C130">
        <f t="shared" ref="C130:I137" ca="1" si="71">C116+B130</f>
        <v>29512547.926255174</v>
      </c>
      <c r="D130">
        <f t="shared" ca="1" si="71"/>
        <v>29737872.118534207</v>
      </c>
      <c r="E130">
        <f t="shared" ca="1" si="71"/>
        <v>29703364.661821723</v>
      </c>
      <c r="F130">
        <f t="shared" ca="1" si="71"/>
        <v>29730006.4486265</v>
      </c>
      <c r="G130">
        <f t="shared" ca="1" si="71"/>
        <v>29721861.794159528</v>
      </c>
      <c r="H130">
        <f t="shared" ca="1" si="71"/>
        <v>29719218.043512244</v>
      </c>
      <c r="I130">
        <f t="shared" ca="1" si="71"/>
        <v>29719437.770603668</v>
      </c>
      <c r="J130">
        <f t="shared" ca="1" si="69"/>
        <v>29716938.242129203</v>
      </c>
    </row>
    <row r="131" spans="2:11" x14ac:dyDescent="0.35">
      <c r="B131">
        <f t="shared" ca="1" si="70"/>
        <v>22775806.174361221</v>
      </c>
      <c r="C131">
        <f t="shared" ca="1" si="71"/>
        <v>27976278.825464647</v>
      </c>
      <c r="D131">
        <f t="shared" ca="1" si="71"/>
        <v>28151633.426267315</v>
      </c>
      <c r="E131">
        <f t="shared" ca="1" si="71"/>
        <v>28182233.920758385</v>
      </c>
      <c r="F131">
        <f t="shared" ca="1" si="71"/>
        <v>28190509.495128077</v>
      </c>
      <c r="G131">
        <f t="shared" ca="1" si="71"/>
        <v>28194518.454284575</v>
      </c>
      <c r="H131">
        <f t="shared" ca="1" si="71"/>
        <v>28180531.551612604</v>
      </c>
      <c r="I131">
        <f t="shared" ca="1" si="71"/>
        <v>28180999.3488032</v>
      </c>
    </row>
    <row r="132" spans="2:11" x14ac:dyDescent="0.35">
      <c r="B132">
        <f t="shared" ca="1" si="70"/>
        <v>23204710.297860958</v>
      </c>
      <c r="C132">
        <f t="shared" ca="1" si="71"/>
        <v>28678834.742815968</v>
      </c>
      <c r="D132">
        <f t="shared" ca="1" si="71"/>
        <v>28870665.64076566</v>
      </c>
      <c r="E132">
        <f t="shared" ca="1" si="71"/>
        <v>28922679.202553645</v>
      </c>
      <c r="F132">
        <f t="shared" ca="1" si="71"/>
        <v>28928334.786739592</v>
      </c>
      <c r="G132">
        <f t="shared" ca="1" si="71"/>
        <v>28930539.521894481</v>
      </c>
      <c r="H132">
        <f t="shared" ca="1" si="71"/>
        <v>28938635.026070256</v>
      </c>
    </row>
    <row r="133" spans="2:11" x14ac:dyDescent="0.35">
      <c r="B133">
        <f t="shared" ca="1" si="70"/>
        <v>23889234.857605007</v>
      </c>
      <c r="C133">
        <f t="shared" ca="1" si="71"/>
        <v>29355734.618081886</v>
      </c>
      <c r="D133">
        <f t="shared" ca="1" si="71"/>
        <v>29389643.821619123</v>
      </c>
      <c r="E133">
        <f t="shared" ca="1" si="71"/>
        <v>29450925.205505278</v>
      </c>
      <c r="F133">
        <f t="shared" ca="1" si="71"/>
        <v>29463197.695580639</v>
      </c>
      <c r="G133">
        <f t="shared" ca="1" si="71"/>
        <v>29441115.205952287</v>
      </c>
    </row>
    <row r="134" spans="2:11" x14ac:dyDescent="0.35">
      <c r="B134">
        <f t="shared" ca="1" si="70"/>
        <v>26210526.378498573</v>
      </c>
      <c r="C134">
        <f t="shared" ca="1" si="71"/>
        <v>31924770.975612409</v>
      </c>
      <c r="D134">
        <f t="shared" ca="1" si="71"/>
        <v>32252910.754835218</v>
      </c>
      <c r="E134">
        <f t="shared" ca="1" si="71"/>
        <v>32375902.392811205</v>
      </c>
      <c r="F134">
        <f t="shared" ca="1" si="71"/>
        <v>32392997.994335365</v>
      </c>
    </row>
    <row r="135" spans="2:11" x14ac:dyDescent="0.35">
      <c r="B135">
        <f t="shared" ca="1" si="70"/>
        <v>28235554.402271017</v>
      </c>
      <c r="C135">
        <f t="shared" ca="1" si="71"/>
        <v>34771527.814090744</v>
      </c>
      <c r="D135">
        <f t="shared" ca="1" si="71"/>
        <v>35122240.125784397</v>
      </c>
      <c r="E135">
        <f t="shared" ca="1" si="71"/>
        <v>35153401.208477184</v>
      </c>
    </row>
    <row r="136" spans="2:11" x14ac:dyDescent="0.35">
      <c r="B136">
        <f t="shared" ca="1" si="70"/>
        <v>30999741.591086209</v>
      </c>
      <c r="C136">
        <f t="shared" ca="1" si="71"/>
        <v>37604710.163486123</v>
      </c>
      <c r="D136">
        <f t="shared" ca="1" si="71"/>
        <v>38098835.741215251</v>
      </c>
    </row>
    <row r="137" spans="2:11" x14ac:dyDescent="0.35">
      <c r="B137">
        <f t="shared" ca="1" si="70"/>
        <v>29543818.627564557</v>
      </c>
      <c r="C137">
        <f t="shared" ca="1" si="71"/>
        <v>36431139.098981626</v>
      </c>
    </row>
    <row r="138" spans="2:11" x14ac:dyDescent="0.35">
      <c r="B138">
        <f t="shared" ca="1" si="70"/>
        <v>28657035.19565101</v>
      </c>
    </row>
    <row r="140" spans="2:11" x14ac:dyDescent="0.35">
      <c r="B140" s="16" t="s">
        <v>9</v>
      </c>
    </row>
    <row r="142" spans="2:11" x14ac:dyDescent="0.35">
      <c r="B142">
        <f ca="1">SUM(C129:C137)/SUM(B129:B137)</f>
        <v>1.2233987222787297</v>
      </c>
      <c r="C142">
        <f ca="1">SUM(D129:D136)/SUM(C129:C136)</f>
        <v>1.008044682417903</v>
      </c>
      <c r="D142">
        <f ca="1">SUM(E129:E135)/SUM(D129:D135)</f>
        <v>1.0014481751824522</v>
      </c>
      <c r="E142">
        <f ca="1">SUM(F129:F134)/SUM(E129:E134)</f>
        <v>1.0004146072951821</v>
      </c>
      <c r="F142">
        <f ca="1">SUM(G129:G133)/SUM(F129:F133)</f>
        <v>0.99992725559886086</v>
      </c>
      <c r="G142">
        <f ca="1">SUM(H129:H132)/SUM(G129:G132)</f>
        <v>0.99997945626789453</v>
      </c>
      <c r="H142">
        <f ca="1">SUM(I129:I131)/SUM(H129:H131)</f>
        <v>1.0000126010342103</v>
      </c>
      <c r="I142">
        <f ca="1">SUM(J129:J130)/SUM(I129:I130)</f>
        <v>1.0000085572950665</v>
      </c>
      <c r="J142">
        <f ca="1">SUM(K129:K129)/SUM(J129:J129)</f>
        <v>1.0000158092898728</v>
      </c>
    </row>
    <row r="143" spans="2:11" x14ac:dyDescent="0.35">
      <c r="B143">
        <f t="shared" ref="B143:H143" ca="1" si="72">B142*C143</f>
        <v>1.235468987837989</v>
      </c>
      <c r="C143">
        <f t="shared" ca="1" si="72"/>
        <v>1.0098661747306528</v>
      </c>
      <c r="D143">
        <f t="shared" ca="1" si="72"/>
        <v>1.0018069559261804</v>
      </c>
      <c r="E143">
        <f t="shared" ca="1" si="72"/>
        <v>1.00035826191771</v>
      </c>
      <c r="F143">
        <f t="shared" ca="1" si="72"/>
        <v>0.99994367797405082</v>
      </c>
      <c r="G143">
        <f t="shared" ca="1" si="72"/>
        <v>1.0000164235699127</v>
      </c>
      <c r="H143">
        <f t="shared" ca="1" si="72"/>
        <v>1.0000369680614802</v>
      </c>
      <c r="I143">
        <f ca="1">I142*J143</f>
        <v>1.000024366720224</v>
      </c>
      <c r="J143">
        <f ca="1">J142</f>
        <v>1.0000158092898728</v>
      </c>
    </row>
    <row r="146" spans="2:11" x14ac:dyDescent="0.35">
      <c r="B146" s="16" t="s">
        <v>45</v>
      </c>
    </row>
    <row r="148" spans="2:11" x14ac:dyDescent="0.35">
      <c r="B148" s="2"/>
      <c r="C148" s="2"/>
      <c r="D148" s="2"/>
      <c r="E148" s="2"/>
      <c r="F148" s="2"/>
      <c r="G148" s="2"/>
      <c r="H148" s="2"/>
      <c r="I148" s="2"/>
      <c r="J148" s="2"/>
      <c r="K148" s="35">
        <f ca="1">K129</f>
        <v>23673186.033452731</v>
      </c>
    </row>
    <row r="149" spans="2:11" x14ac:dyDescent="0.35">
      <c r="B149" s="2"/>
      <c r="C149" s="2"/>
      <c r="D149" s="2"/>
      <c r="E149" s="2"/>
      <c r="F149" s="2"/>
      <c r="G149" s="2"/>
      <c r="H149" s="2"/>
      <c r="I149" s="2"/>
      <c r="J149" s="35">
        <f ca="1">J130</f>
        <v>29716938.242129203</v>
      </c>
      <c r="K149" s="2">
        <f ca="1">J149*J$142</f>
        <v>29717408.045820005</v>
      </c>
    </row>
    <row r="150" spans="2:11" x14ac:dyDescent="0.35">
      <c r="B150" s="2"/>
      <c r="C150" s="2"/>
      <c r="D150" s="2"/>
      <c r="E150" s="2"/>
      <c r="F150" s="2"/>
      <c r="G150" s="2"/>
      <c r="H150" s="2"/>
      <c r="I150" s="35">
        <f ca="1">I131</f>
        <v>28180999.3488032</v>
      </c>
      <c r="J150" s="2">
        <f ca="1">I150*I$142</f>
        <v>28181240.501929898</v>
      </c>
      <c r="K150" s="2">
        <f t="shared" ref="K150:K157" ca="1" si="73">J150*J$142</f>
        <v>28181686.027329966</v>
      </c>
    </row>
    <row r="151" spans="2:11" x14ac:dyDescent="0.35">
      <c r="B151" s="2"/>
      <c r="C151" s="2"/>
      <c r="D151" s="2"/>
      <c r="E151" s="2"/>
      <c r="F151" s="2"/>
      <c r="G151" s="2"/>
      <c r="H151" s="35">
        <f ca="1">H132</f>
        <v>28938635.026070256</v>
      </c>
      <c r="I151" s="2">
        <f ca="1">H151*H$142</f>
        <v>28938999.682800218</v>
      </c>
      <c r="J151" s="2">
        <f ca="1">I151*I$142</f>
        <v>28939247.322359435</v>
      </c>
      <c r="K151" s="2">
        <f t="shared" ca="1" si="73"/>
        <v>28939704.831309054</v>
      </c>
    </row>
    <row r="152" spans="2:11" x14ac:dyDescent="0.35">
      <c r="B152" s="2"/>
      <c r="C152" s="2"/>
      <c r="D152" s="2"/>
      <c r="E152" s="2"/>
      <c r="F152" s="2"/>
      <c r="G152" s="35">
        <f ca="1">G133</f>
        <v>29441115.205952287</v>
      </c>
      <c r="H152" s="2">
        <f ca="1">G152*G$142</f>
        <v>29440510.37556861</v>
      </c>
      <c r="I152" s="2">
        <f ca="1">H152*H$142</f>
        <v>29440881.356447022</v>
      </c>
      <c r="J152" s="2">
        <f ca="1">I152*I$142</f>
        <v>29441133.290755808</v>
      </c>
      <c r="K152" s="2">
        <f t="shared" ca="1" si="73"/>
        <v>29441598.734166186</v>
      </c>
    </row>
    <row r="153" spans="2:11" x14ac:dyDescent="0.35">
      <c r="B153" s="2"/>
      <c r="C153" s="2"/>
      <c r="D153" s="2"/>
      <c r="E153" s="2"/>
      <c r="F153" s="35">
        <f ca="1">F134</f>
        <v>32392997.994335365</v>
      </c>
      <c r="G153" s="2">
        <f ca="1">F153*F$142</f>
        <v>32390641.585095167</v>
      </c>
      <c r="H153" s="2">
        <f ca="1">G153*G$142</f>
        <v>32389976.16043172</v>
      </c>
      <c r="I153" s="2">
        <f ca="1">H153*H$142</f>
        <v>32390384.307629388</v>
      </c>
      <c r="J153" s="2">
        <f ca="1">I153*I$142</f>
        <v>32390661.481705226</v>
      </c>
      <c r="K153" s="2">
        <f t="shared" ca="1" si="73"/>
        <v>32391173.555061761</v>
      </c>
    </row>
    <row r="154" spans="2:11" x14ac:dyDescent="0.35">
      <c r="B154" s="2"/>
      <c r="C154" s="2"/>
      <c r="D154" s="2"/>
      <c r="E154" s="35">
        <f ca="1">E135</f>
        <v>35153401.208477184</v>
      </c>
      <c r="F154" s="2">
        <f ca="1">E154*E$142</f>
        <v>35167976.065068677</v>
      </c>
      <c r="G154" s="2">
        <f ca="1">F154*F$142</f>
        <v>35165417.791710548</v>
      </c>
      <c r="H154" s="2">
        <f ca="1">G154*G$142</f>
        <v>35164695.362788059</v>
      </c>
      <c r="I154" s="2">
        <f ca="1">H154*H$142</f>
        <v>35165138.47431732</v>
      </c>
      <c r="J154" s="2">
        <f ca="1">I154*I$142</f>
        <v>35165439.392783299</v>
      </c>
      <c r="K154" s="2">
        <f t="shared" ca="1" si="73"/>
        <v>35165995.333408162</v>
      </c>
    </row>
    <row r="155" spans="2:11" x14ac:dyDescent="0.35">
      <c r="B155" s="2"/>
      <c r="C155" s="2"/>
      <c r="D155" s="35">
        <f ca="1">D136</f>
        <v>38098835.741215251</v>
      </c>
      <c r="E155" s="2">
        <f t="shared" ref="E155:J155" ca="1" si="74">D155*D$142</f>
        <v>38154009.529616006</v>
      </c>
      <c r="F155" s="2">
        <f t="shared" ca="1" si="74"/>
        <v>38169828.460307427</v>
      </c>
      <c r="G155" s="2">
        <f t="shared" ca="1" si="74"/>
        <v>38167051.8189945</v>
      </c>
      <c r="H155" s="2">
        <f t="shared" ca="1" si="74"/>
        <v>38166267.725306675</v>
      </c>
      <c r="I155" s="2">
        <f t="shared" ca="1" si="74"/>
        <v>38166748.659751959</v>
      </c>
      <c r="J155" s="2">
        <f t="shared" ca="1" si="74"/>
        <v>38167075.263881974</v>
      </c>
      <c r="K155" s="2">
        <f t="shared" ca="1" si="73"/>
        <v>38167678.658238418</v>
      </c>
    </row>
    <row r="156" spans="2:11" x14ac:dyDescent="0.35">
      <c r="B156" s="2"/>
      <c r="C156" s="35">
        <f ca="1">C137</f>
        <v>36431139.098981626</v>
      </c>
      <c r="D156" s="2">
        <f t="shared" ref="C156:J157" ca="1" si="75">C156*C$142</f>
        <v>36724216.04315538</v>
      </c>
      <c r="E156" s="2">
        <f t="shared" ref="E156:J156" ca="1" si="76">D156*D$142</f>
        <v>36777399.14142409</v>
      </c>
      <c r="F156" s="2">
        <f t="shared" ca="1" si="76"/>
        <v>36792647.319405943</v>
      </c>
      <c r="G156" s="2">
        <f t="shared" ca="1" si="76"/>
        <v>36789970.860310368</v>
      </c>
      <c r="H156" s="2">
        <f t="shared" ca="1" si="76"/>
        <v>36789215.057004847</v>
      </c>
      <c r="I156" s="2">
        <f t="shared" ca="1" si="76"/>
        <v>36789678.639162347</v>
      </c>
      <c r="J156" s="2">
        <f t="shared" ca="1" si="76"/>
        <v>36789993.459297866</v>
      </c>
      <c r="K156" s="2">
        <f t="shared" ca="1" si="73"/>
        <v>36790575.082968883</v>
      </c>
    </row>
    <row r="157" spans="2:11" x14ac:dyDescent="0.35">
      <c r="B157" s="35">
        <f ca="1">B138</f>
        <v>28657035.19565101</v>
      </c>
      <c r="C157" s="2">
        <f t="shared" ca="1" si="75"/>
        <v>35058980.24265603</v>
      </c>
      <c r="D157" s="2">
        <f t="shared" ca="1" si="75"/>
        <v>35341018.604603738</v>
      </c>
      <c r="E157" s="2">
        <f t="shared" ca="1" si="75"/>
        <v>35392198.590669505</v>
      </c>
      <c r="F157" s="2">
        <f t="shared" ca="1" si="75"/>
        <v>35406872.454397731</v>
      </c>
      <c r="G157" s="2">
        <f t="shared" ca="1" si="75"/>
        <v>35404296.802664824</v>
      </c>
      <c r="H157" s="2">
        <f t="shared" ca="1" si="75"/>
        <v>35403569.46627593</v>
      </c>
      <c r="I157" s="2">
        <f t="shared" ca="1" si="75"/>
        <v>35404015.587865941</v>
      </c>
      <c r="J157" s="2">
        <f t="shared" ca="1" si="75"/>
        <v>35404318.550473869</v>
      </c>
      <c r="K157" s="2">
        <f t="shared" ca="1" si="73"/>
        <v>35404878.267608583</v>
      </c>
    </row>
    <row r="160" spans="2:11" x14ac:dyDescent="0.35">
      <c r="B160" s="16" t="s">
        <v>47</v>
      </c>
    </row>
    <row r="161" spans="2:13" x14ac:dyDescent="0.35">
      <c r="M161" t="s">
        <v>46</v>
      </c>
    </row>
    <row r="163" spans="2:13" x14ac:dyDescent="0.35">
      <c r="C163" s="2"/>
      <c r="D163" s="2"/>
      <c r="E163" s="2"/>
      <c r="F163" s="2"/>
      <c r="G163" s="2"/>
      <c r="H163" s="2"/>
      <c r="I163" s="2"/>
      <c r="J163" s="2"/>
      <c r="K163" s="2">
        <f ca="1">K149-J149</f>
        <v>469.80369080230594</v>
      </c>
      <c r="M163" s="2">
        <f ca="1">SUM(C163:K163)</f>
        <v>469.80369080230594</v>
      </c>
    </row>
    <row r="164" spans="2:13" x14ac:dyDescent="0.35">
      <c r="C164" s="2"/>
      <c r="D164" s="2"/>
      <c r="E164" s="2"/>
      <c r="F164" s="2"/>
      <c r="G164" s="2"/>
      <c r="H164" s="2"/>
      <c r="I164" s="2"/>
      <c r="J164" s="2">
        <f ca="1">J150-I150</f>
        <v>241.15312669798732</v>
      </c>
      <c r="K164" s="2">
        <f ca="1">K150-J150</f>
        <v>445.52540006861091</v>
      </c>
      <c r="M164" s="2">
        <f t="shared" ref="M164:M171" ca="1" si="77">SUM(C164:K164)</f>
        <v>686.67852676659822</v>
      </c>
    </row>
    <row r="165" spans="2:13" x14ac:dyDescent="0.35">
      <c r="C165" s="2"/>
      <c r="D165" s="2"/>
      <c r="E165" s="2"/>
      <c r="F165" s="2"/>
      <c r="G165" s="2"/>
      <c r="H165" s="2"/>
      <c r="I165" s="2">
        <f ca="1">I151-H151</f>
        <v>364.65672996267676</v>
      </c>
      <c r="J165" s="2">
        <f ca="1">J151-I151</f>
        <v>247.63955921679735</v>
      </c>
      <c r="K165" s="2">
        <f t="shared" ref="K165:K171" ca="1" si="78">K151-J151</f>
        <v>457.50894961878657</v>
      </c>
      <c r="M165" s="2">
        <f t="shared" ca="1" si="77"/>
        <v>1069.8052387982607</v>
      </c>
    </row>
    <row r="166" spans="2:13" x14ac:dyDescent="0.35">
      <c r="C166" s="2"/>
      <c r="D166" s="2"/>
      <c r="E166" s="2"/>
      <c r="F166" s="2"/>
      <c r="G166" s="2"/>
      <c r="H166" s="2">
        <f ca="1">H152-G152</f>
        <v>-604.83038367703557</v>
      </c>
      <c r="I166" s="2">
        <f ca="1">I152-H152</f>
        <v>370.98087841272354</v>
      </c>
      <c r="J166" s="2">
        <f ca="1">J152-I152</f>
        <v>251.93430878594518</v>
      </c>
      <c r="K166" s="2">
        <f t="shared" ca="1" si="78"/>
        <v>465.44341037794948</v>
      </c>
      <c r="M166" s="2">
        <f t="shared" ca="1" si="77"/>
        <v>483.52821389958262</v>
      </c>
    </row>
    <row r="167" spans="2:13" x14ac:dyDescent="0.35">
      <c r="C167" s="2"/>
      <c r="D167" s="2"/>
      <c r="E167" s="2"/>
      <c r="F167" s="2"/>
      <c r="G167" s="2">
        <f ca="1">G153-F153</f>
        <v>-2356.4092401973903</v>
      </c>
      <c r="H167" s="2">
        <f ca="1">H153-G153</f>
        <v>-665.42466344684362</v>
      </c>
      <c r="I167" s="2">
        <f ca="1">I153-H153</f>
        <v>408.14719766750932</v>
      </c>
      <c r="J167" s="2">
        <f ca="1">J153-I153</f>
        <v>277.1740758381784</v>
      </c>
      <c r="K167" s="2">
        <f t="shared" ca="1" si="78"/>
        <v>512.07335653528571</v>
      </c>
      <c r="M167" s="2">
        <f t="shared" ca="1" si="77"/>
        <v>-1824.4392736032605</v>
      </c>
    </row>
    <row r="168" spans="2:13" x14ac:dyDescent="0.35">
      <c r="C168" s="2"/>
      <c r="D168" s="2"/>
      <c r="E168" s="2"/>
      <c r="F168" s="2">
        <f ca="1">F154-E154</f>
        <v>14574.856591492891</v>
      </c>
      <c r="G168" s="2">
        <f ca="1">G154-F154</f>
        <v>-2558.2733581289649</v>
      </c>
      <c r="H168" s="2">
        <f ca="1">H154-G154</f>
        <v>-722.42892248928547</v>
      </c>
      <c r="I168" s="2">
        <f ca="1">I154-H154</f>
        <v>443.11152926087379</v>
      </c>
      <c r="J168" s="2">
        <f ca="1">J154-I154</f>
        <v>300.9184659793973</v>
      </c>
      <c r="K168" s="2">
        <f t="shared" ca="1" si="78"/>
        <v>555.94062486290932</v>
      </c>
      <c r="M168" s="2">
        <f t="shared" ca="1" si="77"/>
        <v>12594.124930977821</v>
      </c>
    </row>
    <row r="169" spans="2:13" x14ac:dyDescent="0.35">
      <c r="C169" s="2"/>
      <c r="D169" s="2"/>
      <c r="E169" s="2">
        <f t="shared" ref="E169:J169" ca="1" si="79">E155-D155</f>
        <v>55173.788400754333</v>
      </c>
      <c r="F169" s="2">
        <f t="shared" ca="1" si="79"/>
        <v>15818.930691421032</v>
      </c>
      <c r="G169" s="2">
        <f t="shared" ca="1" si="79"/>
        <v>-2776.6413129270077</v>
      </c>
      <c r="H169" s="2">
        <f t="shared" ca="1" si="79"/>
        <v>-784.09368782490492</v>
      </c>
      <c r="I169" s="2">
        <f t="shared" ca="1" si="79"/>
        <v>480.934445284307</v>
      </c>
      <c r="J169" s="2">
        <f t="shared" ca="1" si="79"/>
        <v>326.60413001477718</v>
      </c>
      <c r="K169" s="2">
        <f t="shared" ca="1" si="78"/>
        <v>603.39435644447803</v>
      </c>
      <c r="M169" s="2">
        <f t="shared" ca="1" si="77"/>
        <v>68842.917023167014</v>
      </c>
    </row>
    <row r="170" spans="2:13" x14ac:dyDescent="0.35">
      <c r="C170" s="2"/>
      <c r="D170" s="2">
        <f t="shared" ref="C170:J171" ca="1" si="80">D156-C156</f>
        <v>293076.94417375326</v>
      </c>
      <c r="E170" s="2">
        <f t="shared" ref="E170:J170" ca="1" si="81">E156-D156</f>
        <v>53183.098268710077</v>
      </c>
      <c r="F170" s="2">
        <f t="shared" ca="1" si="81"/>
        <v>15248.177981853485</v>
      </c>
      <c r="G170" s="2">
        <f t="shared" ca="1" si="81"/>
        <v>-2676.4590955749154</v>
      </c>
      <c r="H170" s="2">
        <f t="shared" ca="1" si="81"/>
        <v>-755.8033055216074</v>
      </c>
      <c r="I170" s="2">
        <f t="shared" ca="1" si="81"/>
        <v>463.58215750008821</v>
      </c>
      <c r="J170" s="2">
        <f t="shared" ca="1" si="81"/>
        <v>314.8201355189085</v>
      </c>
      <c r="K170" s="2">
        <f t="shared" ca="1" si="78"/>
        <v>581.62367101758718</v>
      </c>
      <c r="M170" s="2">
        <f t="shared" ca="1" si="77"/>
        <v>359435.98398725688</v>
      </c>
    </row>
    <row r="171" spans="2:13" x14ac:dyDescent="0.35">
      <c r="C171" s="2">
        <f t="shared" ca="1" si="80"/>
        <v>6401945.0470050201</v>
      </c>
      <c r="D171" s="2">
        <f t="shared" ca="1" si="80"/>
        <v>282038.36194770783</v>
      </c>
      <c r="E171" s="2">
        <f t="shared" ca="1" si="80"/>
        <v>51179.986065767705</v>
      </c>
      <c r="F171" s="2">
        <f t="shared" ca="1" si="80"/>
        <v>14673.863728225231</v>
      </c>
      <c r="G171" s="2">
        <f t="shared" ca="1" si="80"/>
        <v>-2575.6517329066992</v>
      </c>
      <c r="H171" s="2">
        <f t="shared" ca="1" si="80"/>
        <v>-727.33638889342546</v>
      </c>
      <c r="I171" s="2">
        <f t="shared" ca="1" si="80"/>
        <v>446.12159001082182</v>
      </c>
      <c r="J171" s="2">
        <f t="shared" ca="1" si="80"/>
        <v>302.96260792762041</v>
      </c>
      <c r="K171" s="2">
        <f t="shared" ca="1" si="78"/>
        <v>559.71713471412659</v>
      </c>
      <c r="M171" s="2">
        <f t="shared" ca="1" si="77"/>
        <v>6747843.0719575733</v>
      </c>
    </row>
    <row r="172" spans="2:13" x14ac:dyDescent="0.35">
      <c r="M172" s="37">
        <f ca="1">SUM(M163:M171)</f>
        <v>7189601.4742956385</v>
      </c>
    </row>
    <row r="174" spans="2:13" x14ac:dyDescent="0.35">
      <c r="B174" s="16" t="s">
        <v>48</v>
      </c>
    </row>
    <row r="175" spans="2:13" x14ac:dyDescent="0.35">
      <c r="M175" t="s">
        <v>49</v>
      </c>
    </row>
    <row r="177" spans="1:46" x14ac:dyDescent="0.35">
      <c r="K177">
        <f ca="1">IF($I$30=1,IF(K163&lt;0,$I$33*PoiRnd(ABS(K163)/$I$33)-2*ABS(K163),$I$33*PoiRnd(ABS(K163)/$I$33)),IF(K163&lt;0,Grnd3(ABS(K163)/$I$33,$I$33)-2*ABS(K163),Grnd3(ABS(K163)/$I$33,$I$33)))</f>
        <v>1.1851565349104114E-43</v>
      </c>
      <c r="M177" s="2">
        <f ca="1">SUM(C177:K177)</f>
        <v>1.1851565349104114E-43</v>
      </c>
    </row>
    <row r="178" spans="1:46" x14ac:dyDescent="0.35">
      <c r="J178">
        <f ca="1">IF($I$30=1,IF(J164&lt;0,$I$33*PoiRnd(ABS(J164)/$I$33)-2*ABS(J164),$I$33*PoiRnd(ABS(J164)/$I$33)),IF(J164&lt;0,Grnd3(ABS(J164)/$I$33,$I$33)-2*ABS(J164),Grnd3(ABS(J164)/$I$33,$I$33)))</f>
        <v>1.2082023928269986E-25</v>
      </c>
      <c r="K178">
        <f t="shared" ref="K178:K185" ca="1" si="82">IF($I$30=1,IF(K164&lt;0,$I$33*PoiRnd(ABS(K164)/$I$33)-2*ABS(K164),$I$33*PoiRnd(ABS(K164)/$I$33)),IF(K164&lt;0,Grnd3(ABS(K164)/$I$33,$I$33)-2*ABS(K164),Grnd3(ABS(K164)/$I$33,$I$33)))</f>
        <v>2.75878923227554E-14</v>
      </c>
      <c r="M178" s="2">
        <f t="shared" ref="M178:M185" ca="1" si="83">SUM(C178:K178)</f>
        <v>2.7587892322876218E-14</v>
      </c>
    </row>
    <row r="179" spans="1:46" x14ac:dyDescent="0.35">
      <c r="I179">
        <f ca="1">IF($I$30=1,IF(I165&lt;0,$I$33*PoiRnd(ABS(I165)/$I$33)-2*ABS(I165),$I$33*PoiRnd(ABS(I165)/$I$33)),IF(I165&lt;0,Grnd3(ABS(I165)/$I$33,$I$33)-2*ABS(I165),Grnd3(ABS(I165)/$I$33,$I$33)))</f>
        <v>5.6569067378496632E-50</v>
      </c>
      <c r="J179">
        <f t="shared" ref="J179:J185" ca="1" si="84">IF($I$30=1,IF(J165&lt;0,$I$33*PoiRnd(ABS(J165)/$I$33)-2*ABS(J165),$I$33*PoiRnd(ABS(J165)/$I$33)),IF(J165&lt;0,Grnd3(ABS(J165)/$I$33,$I$33)-2*ABS(J165),Grnd3(ABS(J165)/$I$33,$I$33)))</f>
        <v>2.9776598205920429E-11</v>
      </c>
      <c r="K179">
        <f t="shared" ca="1" si="82"/>
        <v>1.3288472549416864E-27</v>
      </c>
      <c r="M179" s="2">
        <f t="shared" ca="1" si="83"/>
        <v>2.9776598205920429E-11</v>
      </c>
    </row>
    <row r="180" spans="1:46" x14ac:dyDescent="0.35">
      <c r="H180">
        <f t="shared" ref="H180:H185" ca="1" si="85">IF($I$30=1,IF(H166&lt;0,$I$33*PoiRnd(ABS(H166)/$I$33)-2*ABS(H166),$I$33*PoiRnd(ABS(H166)/$I$33)),IF(H166&lt;0,Grnd3(ABS(H166)/$I$33,$I$33)-2*ABS(H166),Grnd3(ABS(H166)/$I$33,$I$33)))</f>
        <v>-1209.6607673540711</v>
      </c>
      <c r="I180">
        <f t="shared" ref="I180:I185" ca="1" si="86">IF($I$30=1,IF(I166&lt;0,$I$33*PoiRnd(ABS(I166)/$I$33)-2*ABS(I166),$I$33*PoiRnd(ABS(I166)/$I$33)),IF(I166&lt;0,Grnd3(ABS(I166)/$I$33,$I$33)-2*ABS(I166),Grnd3(ABS(I166)/$I$33,$I$33)))</f>
        <v>4.7378182760161628E-7</v>
      </c>
      <c r="J180">
        <f t="shared" ca="1" si="84"/>
        <v>7290.2050353616687</v>
      </c>
      <c r="K180">
        <f t="shared" ca="1" si="82"/>
        <v>27.20924465782609</v>
      </c>
      <c r="M180" s="2">
        <f t="shared" ca="1" si="83"/>
        <v>6107.753513139206</v>
      </c>
    </row>
    <row r="181" spans="1:46" x14ac:dyDescent="0.35">
      <c r="G181">
        <f ca="1">IF($I$30=1,IF(G167&lt;0,$I$33*PoiRnd(ABS(G167)/$I$33)-2*ABS(G167),$I$33*PoiRnd(ABS(G167)/$I$33)),IF(G167&lt;0,Grnd3(ABS(G167)/$I$33,$I$33)-2*ABS(G167),Grnd3(ABS(G167)/$I$33,$I$33)))</f>
        <v>-4686.4467819746724</v>
      </c>
      <c r="H181">
        <f t="shared" ca="1" si="85"/>
        <v>-1330.8493268936872</v>
      </c>
      <c r="I181">
        <f t="shared" ca="1" si="86"/>
        <v>2.6773340807745861E-61</v>
      </c>
      <c r="J181">
        <f t="shared" ca="1" si="84"/>
        <v>2.3051599000274264E-85</v>
      </c>
      <c r="K181">
        <f t="shared" ca="1" si="82"/>
        <v>3.420627222881859E-18</v>
      </c>
      <c r="M181" s="2">
        <f t="shared" ca="1" si="83"/>
        <v>-6017.2961088683596</v>
      </c>
    </row>
    <row r="182" spans="1:46" x14ac:dyDescent="0.35">
      <c r="F182">
        <f ca="1">IF($I$30=1,IF(F168&lt;0,$I$33*PoiRnd(ABS(F168)/$I$33)-2*ABS(F168),$I$33*PoiRnd(ABS(F168)/$I$33)),IF(F168&lt;0,Grnd3(ABS(F168)/$I$33,$I$33)-2*ABS(F168),Grnd3(ABS(F168)/$I$33,$I$33)))</f>
        <v>16961.248384705465</v>
      </c>
      <c r="G182">
        <f ca="1">IF($I$30=1,IF(G168&lt;0,$I$33*PoiRnd(ABS(G168)/$I$33)-2*ABS(G168),$I$33*PoiRnd(ABS(G168)/$I$33)),IF(G168&lt;0,Grnd3(ABS(G168)/$I$33,$I$33)-2*ABS(G168),Grnd3(ABS(G168)/$I$33,$I$33)))</f>
        <v>74201.61491203896</v>
      </c>
      <c r="H182">
        <f t="shared" ca="1" si="85"/>
        <v>-1443.6759930801775</v>
      </c>
      <c r="I182">
        <f t="shared" ca="1" si="86"/>
        <v>4.903177315898909E-27</v>
      </c>
      <c r="J182">
        <f t="shared" ca="1" si="84"/>
        <v>6.6417417195180195E-69</v>
      </c>
      <c r="K182">
        <f t="shared" ca="1" si="82"/>
        <v>0.50459362942989261</v>
      </c>
      <c r="M182" s="2">
        <f t="shared" ca="1" si="83"/>
        <v>89719.691897293684</v>
      </c>
    </row>
    <row r="183" spans="1:46" x14ac:dyDescent="0.35">
      <c r="E183">
        <f ca="1">IF($I$30=1,IF(E169&lt;0,$I$33*PoiRnd(ABS(E169)/$I$33)-2*ABS(E169),$I$33*PoiRnd(ABS(E169)/$I$33)),IF(E169&lt;0,Grnd3(ABS(E169)/$I$33,$I$33)-2*ABS(E169),Grnd3(ABS(E169)/$I$33,$I$33)))</f>
        <v>88985.196070900012</v>
      </c>
      <c r="F183">
        <f ca="1">IF($I$30=1,IF(F169&lt;0,$I$33*PoiRnd(ABS(F169)/$I$33)-2*ABS(F169),$I$33*PoiRnd(ABS(F169)/$I$33)),IF(F169&lt;0,Grnd3(ABS(F169)/$I$33,$I$33)-2*ABS(F169),Grnd3(ABS(F169)/$I$33,$I$33)))</f>
        <v>29594.792205046095</v>
      </c>
      <c r="G183">
        <f ca="1">IF($I$30=1,IF(G169&lt;0,$I$33*PoiRnd(ABS(G169)/$I$33)-2*ABS(G169),$I$33*PoiRnd(ABS(G169)/$I$33)),IF(G169&lt;0,Grnd3(ABS(G169)/$I$33,$I$33)-2*ABS(G169),Grnd3(ABS(G169)/$I$33,$I$33)))</f>
        <v>-5553.2677469972978</v>
      </c>
      <c r="H183">
        <f t="shared" ca="1" si="85"/>
        <v>-1568.0603947869197</v>
      </c>
      <c r="I183">
        <f t="shared" ca="1" si="86"/>
        <v>1.2103907505534073E-5</v>
      </c>
      <c r="J183">
        <f t="shared" ca="1" si="84"/>
        <v>1.9801381580909921E-66</v>
      </c>
      <c r="K183">
        <f t="shared" ca="1" si="82"/>
        <v>1.1617349072723176E-3</v>
      </c>
      <c r="M183" s="2">
        <f t="shared" ca="1" si="83"/>
        <v>111458.66130800069</v>
      </c>
    </row>
    <row r="184" spans="1:46" x14ac:dyDescent="0.35">
      <c r="D184">
        <f ca="1">IF($I$30=1,IF(D170&lt;0,$I$33*PoiRnd(ABS(D170)/$I$33)-2*ABS(D170),$I$33*PoiRnd(ABS(D170)/$I$33)),IF(D170&lt;0,Grnd3(ABS(D170)/$I$33,$I$33)-2*ABS(D170),Grnd3(ABS(D170)/$I$33,$I$33)))</f>
        <v>349406.26746601309</v>
      </c>
      <c r="E184">
        <f ca="1">IF($I$30=1,IF(E170&lt;0,$I$33*PoiRnd(ABS(E170)/$I$33)-2*ABS(E170),$I$33*PoiRnd(ABS(E170)/$I$33)),IF(E170&lt;0,Grnd3(ABS(E170)/$I$33,$I$33)-2*ABS(E170),Grnd3(ABS(E170)/$I$33,$I$33)))</f>
        <v>124449.80049981907</v>
      </c>
      <c r="F184">
        <f ca="1">IF($I$30=1,IF(F170&lt;0,$I$33*PoiRnd(ABS(F170)/$I$33)-2*ABS(F170),$I$33*PoiRnd(ABS(F170)/$I$33)),IF(F170&lt;0,Grnd3(ABS(F170)/$I$33,$I$33)-2*ABS(F170),Grnd3(ABS(F170)/$I$33,$I$33)))</f>
        <v>12012.06934100907</v>
      </c>
      <c r="G184">
        <f ca="1">IF($I$30=1,IF(G170&lt;0,$I$33*PoiRnd(ABS(G170)/$I$33)-2*ABS(G170),$I$33*PoiRnd(ABS(G170)/$I$33)),IF(G170&lt;0,Grnd3(ABS(G170)/$I$33,$I$33)-2*ABS(G170),Grnd3(ABS(G170)/$I$33,$I$33)))</f>
        <v>-5352.9181256359107</v>
      </c>
      <c r="H184">
        <f t="shared" ca="1" si="85"/>
        <v>-1511.6066110432148</v>
      </c>
      <c r="I184">
        <f t="shared" ca="1" si="86"/>
        <v>8.2863164614059669E-7</v>
      </c>
      <c r="J184">
        <f t="shared" ca="1" si="84"/>
        <v>1.3393709380231192E-57</v>
      </c>
      <c r="K184">
        <f t="shared" ca="1" si="82"/>
        <v>4.7895538877761064E-103</v>
      </c>
      <c r="M184" s="2">
        <f t="shared" ca="1" si="83"/>
        <v>479003.61257099081</v>
      </c>
    </row>
    <row r="185" spans="1:46" x14ac:dyDescent="0.35">
      <c r="C185">
        <f ca="1">IF($I$30=1,IF(C171&lt;0,$I$33*PoiRnd(ABS(C171)/$I$33)-2*ABS(C171),$I$33*PoiRnd(ABS(C171)/$I$33)),IF(C171&lt;0,Grnd3(ABS(C171)/$I$33,$I$33)-2*ABS(C171),Grnd3(ABS(C171)/$I$33,$I$33)))</f>
        <v>6451486.053040674</v>
      </c>
      <c r="D185">
        <f ca="1">IF($I$30=1,IF(D171&lt;0,$I$33*PoiRnd(ABS(D171)/$I$33)-2*ABS(D171),$I$33*PoiRnd(ABS(D171)/$I$33)),IF(D171&lt;0,Grnd3(ABS(D171)/$I$33,$I$33)-2*ABS(D171),Grnd3(ABS(D171)/$I$33,$I$33)))</f>
        <v>218886.04085756323</v>
      </c>
      <c r="E185">
        <f ca="1">IF($I$30=1,IF(E171&lt;0,$I$33*PoiRnd(ABS(E171)/$I$33)-2*ABS(E171),$I$33*PoiRnd(ABS(E171)/$I$33)),IF(E171&lt;0,Grnd3(ABS(E171)/$I$33,$I$33)-2*ABS(E171),Grnd3(ABS(E171)/$I$33,$I$33)))</f>
        <v>90191.934083050175</v>
      </c>
      <c r="F185">
        <f ca="1">IF($I$30=1,IF(F171&lt;0,$I$33*PoiRnd(ABS(F171)/$I$33)-2*ABS(F171),$I$33*PoiRnd(ABS(F171)/$I$33)),IF(F171&lt;0,Grnd3(ABS(F171)/$I$33,$I$33)-2*ABS(F171),Grnd3(ABS(F171)/$I$33,$I$33)))</f>
        <v>173.68759602032989</v>
      </c>
      <c r="G185">
        <f ca="1">IF($I$30=1,IF(G171&lt;0,$I$33*PoiRnd(ABS(G171)/$I$33)-2*ABS(G171),$I$33*PoiRnd(ABS(G171)/$I$33)),IF(G171&lt;0,Grnd3(ABS(G171)/$I$33,$I$33)-2*ABS(G171),Grnd3(ABS(G171)/$I$33,$I$33)))</f>
        <v>-5150.2012772529197</v>
      </c>
      <c r="H185">
        <f t="shared" ca="1" si="85"/>
        <v>-370.69933547574874</v>
      </c>
      <c r="I185">
        <f t="shared" ca="1" si="86"/>
        <v>2.6930419895339726E-15</v>
      </c>
      <c r="J185">
        <f t="shared" ca="1" si="84"/>
        <v>2.5684386803706074E-27</v>
      </c>
      <c r="K185">
        <f t="shared" ca="1" si="82"/>
        <v>2274.2293134229021</v>
      </c>
      <c r="M185" s="2">
        <f t="shared" ca="1" si="83"/>
        <v>6757491.0442780014</v>
      </c>
    </row>
    <row r="186" spans="1:46" x14ac:dyDescent="0.35">
      <c r="M186" s="37">
        <f ca="1">SUM(M177:M185)</f>
        <v>7437763.4674585573</v>
      </c>
    </row>
    <row r="188" spans="1:46" x14ac:dyDescent="0.35">
      <c r="B188" s="16" t="s">
        <v>36</v>
      </c>
    </row>
    <row r="189" spans="1:46" x14ac:dyDescent="0.35">
      <c r="A189" s="16" t="s">
        <v>1</v>
      </c>
      <c r="B189" s="27">
        <f ca="1">$M$177</f>
        <v>1.1851565349104114E-43</v>
      </c>
      <c r="C189" s="27">
        <f ca="1">$M$178</f>
        <v>2.7587892322876218E-14</v>
      </c>
      <c r="D189" s="27">
        <f ca="1">$M$179</f>
        <v>2.9776598205920429E-11</v>
      </c>
      <c r="E189" s="27">
        <f ca="1">$M$180</f>
        <v>6107.753513139206</v>
      </c>
      <c r="F189" s="27">
        <f ca="1">$M$181</f>
        <v>-6017.2961088683596</v>
      </c>
      <c r="G189" s="27">
        <f ca="1">$M$182</f>
        <v>89719.691897293684</v>
      </c>
      <c r="H189" s="27">
        <f ca="1">$M$183</f>
        <v>111458.66130800069</v>
      </c>
      <c r="I189" s="27">
        <f ca="1">$M$184</f>
        <v>479003.61257099081</v>
      </c>
      <c r="J189" s="27">
        <f ca="1">$M$185</f>
        <v>6757491.0442780014</v>
      </c>
      <c r="K189" s="27">
        <f ca="1">$M$186</f>
        <v>7437763.4674585573</v>
      </c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  <c r="AA189" s="38"/>
      <c r="AB189" s="38"/>
      <c r="AC189" s="38"/>
      <c r="AD189" s="38"/>
      <c r="AE189" s="38"/>
      <c r="AF189" s="38"/>
      <c r="AG189" s="38"/>
      <c r="AH189" s="38"/>
      <c r="AI189" s="38"/>
      <c r="AJ189" s="38"/>
      <c r="AK189" s="38"/>
      <c r="AL189" s="38"/>
      <c r="AM189" s="38"/>
      <c r="AN189" s="38"/>
      <c r="AO189" s="38"/>
      <c r="AP189" s="38"/>
      <c r="AQ189" s="38"/>
      <c r="AR189" s="38"/>
      <c r="AS189" s="38"/>
      <c r="AT189" s="38"/>
    </row>
    <row r="190" spans="1:46" x14ac:dyDescent="0.35">
      <c r="A190" s="16" t="s">
        <v>13</v>
      </c>
      <c r="B190" s="24">
        <v>1276.4909027996878</v>
      </c>
      <c r="C190" s="24">
        <v>1543.7695413906156</v>
      </c>
      <c r="D190" s="24">
        <v>2545.2810378098852</v>
      </c>
      <c r="E190" s="24">
        <v>5485.647641396049</v>
      </c>
      <c r="F190" s="24">
        <v>9503.6219024406946</v>
      </c>
      <c r="G190" s="24">
        <v>19475.319763791933</v>
      </c>
      <c r="H190" s="24">
        <v>79660.674544825117</v>
      </c>
      <c r="I190" s="24">
        <v>385774.60481535969</v>
      </c>
      <c r="J190" s="24">
        <v>7252282.3912046906</v>
      </c>
      <c r="K190" s="24">
        <v>7757547.8013544921</v>
      </c>
      <c r="AB190" s="28"/>
    </row>
    <row r="191" spans="1:46" x14ac:dyDescent="0.35">
      <c r="A191" s="16" t="s">
        <v>14</v>
      </c>
      <c r="B191" s="24">
        <v>14164.738786649563</v>
      </c>
      <c r="C191" s="24">
        <v>15299.727172438041</v>
      </c>
      <c r="D191" s="24">
        <v>17508.932887372088</v>
      </c>
      <c r="E191" s="24">
        <v>21195.432423163318</v>
      </c>
      <c r="F191" s="24">
        <v>24746.483518552304</v>
      </c>
      <c r="G191" s="24">
        <v>32397.31294837828</v>
      </c>
      <c r="H191" s="24">
        <v>53619.158239525546</v>
      </c>
      <c r="I191" s="24">
        <v>110341.40200149492</v>
      </c>
      <c r="J191" s="24">
        <v>536429.90291338309</v>
      </c>
      <c r="K191" s="24">
        <v>573940.38357702375</v>
      </c>
      <c r="AB191" s="28"/>
    </row>
    <row r="192" spans="1:46" x14ac:dyDescent="0.35">
      <c r="A192" s="16" t="s">
        <v>28</v>
      </c>
      <c r="B192" s="25">
        <f>B191/B190</f>
        <v>11.09662337238948</v>
      </c>
      <c r="C192" s="25">
        <f t="shared" ref="C192:J192" si="87">C191/C190</f>
        <v>9.9106289910708867</v>
      </c>
      <c r="D192" s="25">
        <f t="shared" si="87"/>
        <v>6.8789782453405772</v>
      </c>
      <c r="E192" s="25">
        <f t="shared" si="87"/>
        <v>3.8637976422724205</v>
      </c>
      <c r="F192" s="25">
        <f t="shared" si="87"/>
        <v>2.6039002574583674</v>
      </c>
      <c r="G192" s="25">
        <f t="shared" si="87"/>
        <v>1.6635060857183264</v>
      </c>
      <c r="H192" s="25">
        <f t="shared" si="87"/>
        <v>0.6730944540188899</v>
      </c>
      <c r="I192" s="25">
        <f t="shared" si="87"/>
        <v>0.28602557198991047</v>
      </c>
      <c r="J192" s="25">
        <f t="shared" si="87"/>
        <v>7.396704567984641E-2</v>
      </c>
      <c r="K192" s="25">
        <f>K191/K190</f>
        <v>7.3984769191729888E-2</v>
      </c>
      <c r="AB192" s="29"/>
    </row>
    <row r="193" spans="1:46" x14ac:dyDescent="0.35">
      <c r="A193" s="16" t="s">
        <v>29</v>
      </c>
      <c r="B193" s="31">
        <v>2</v>
      </c>
      <c r="C193" s="31">
        <v>3</v>
      </c>
      <c r="D193" s="31">
        <v>4</v>
      </c>
      <c r="E193" s="31">
        <v>5</v>
      </c>
      <c r="F193" s="31">
        <v>6</v>
      </c>
      <c r="G193" s="31">
        <v>7</v>
      </c>
      <c r="H193" s="31">
        <v>8</v>
      </c>
      <c r="I193" s="31">
        <v>9</v>
      </c>
      <c r="J193" s="31">
        <v>10</v>
      </c>
      <c r="K193" s="31" t="s">
        <v>5</v>
      </c>
      <c r="AB193" s="28"/>
    </row>
    <row r="194" spans="1:46" x14ac:dyDescent="0.35">
      <c r="A194" s="16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AB194" s="28"/>
    </row>
    <row r="195" spans="1:46" x14ac:dyDescent="0.35">
      <c r="A195" s="16"/>
      <c r="B195" s="27"/>
      <c r="C195" s="27"/>
      <c r="D195" s="27"/>
      <c r="E195" s="27"/>
      <c r="F195" s="27"/>
      <c r="G195" s="27"/>
      <c r="H195" s="27"/>
      <c r="I195" s="27"/>
      <c r="J195" s="27"/>
      <c r="K195" s="27"/>
    </row>
    <row r="196" spans="1:46" x14ac:dyDescent="0.35">
      <c r="A196" s="16"/>
      <c r="B196" s="2"/>
      <c r="C196" s="2"/>
      <c r="D196" s="2"/>
      <c r="E196" s="2"/>
      <c r="F196" s="2"/>
      <c r="G196" s="2"/>
      <c r="H196" s="8"/>
      <c r="I196" s="8"/>
      <c r="J196" s="8"/>
      <c r="K196" s="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</row>
    <row r="198" spans="1:46" x14ac:dyDescent="0.35">
      <c r="C198" t="s">
        <v>12</v>
      </c>
      <c r="E198" t="s">
        <v>50</v>
      </c>
    </row>
    <row r="199" spans="1:46" x14ac:dyDescent="0.35">
      <c r="B199" t="s">
        <v>15</v>
      </c>
      <c r="C199" t="s">
        <v>16</v>
      </c>
      <c r="D199" t="s">
        <v>17</v>
      </c>
      <c r="E199" t="s">
        <v>10</v>
      </c>
      <c r="G199" s="1"/>
    </row>
    <row r="200" spans="1:46" x14ac:dyDescent="0.35">
      <c r="B200">
        <v>1</v>
      </c>
      <c r="C200">
        <f t="shared" ref="C200:C209" si="88">B87</f>
        <v>-12.403087261589448</v>
      </c>
      <c r="D200">
        <f ca="1">INT(RAND()*55+1)</f>
        <v>36</v>
      </c>
      <c r="E200">
        <f t="shared" ref="E200:E231" ca="1" si="89">VLOOKUP(D200,$B$200:$C$254,2)*SQRT($I$28/$I$32)</f>
        <v>-38.025286908597913</v>
      </c>
    </row>
    <row r="201" spans="1:46" x14ac:dyDescent="0.35">
      <c r="B201">
        <v>2</v>
      </c>
      <c r="C201">
        <f t="shared" si="88"/>
        <v>-26.719944678780788</v>
      </c>
      <c r="D201">
        <f t="shared" ref="D201:D254" ca="1" si="90">INT(RAND()*55+1)</f>
        <v>29</v>
      </c>
      <c r="E201">
        <f t="shared" ca="1" si="89"/>
        <v>-55.993988413309367</v>
      </c>
    </row>
    <row r="202" spans="1:46" x14ac:dyDescent="0.35">
      <c r="B202">
        <v>3</v>
      </c>
      <c r="C202">
        <f t="shared" si="88"/>
        <v>-16.340823269754086</v>
      </c>
      <c r="D202">
        <f t="shared" ca="1" si="90"/>
        <v>7</v>
      </c>
      <c r="E202">
        <f t="shared" ca="1" si="89"/>
        <v>-105.55140935375273</v>
      </c>
    </row>
    <row r="203" spans="1:46" x14ac:dyDescent="0.35">
      <c r="B203">
        <v>4</v>
      </c>
      <c r="C203">
        <f t="shared" si="88"/>
        <v>1.5817935875543898</v>
      </c>
      <c r="D203">
        <f t="shared" ca="1" si="90"/>
        <v>38</v>
      </c>
      <c r="E203">
        <f t="shared" ca="1" si="89"/>
        <v>-79.61966675772436</v>
      </c>
    </row>
    <row r="204" spans="1:46" x14ac:dyDescent="0.35">
      <c r="B204">
        <v>5</v>
      </c>
      <c r="C204">
        <f t="shared" si="88"/>
        <v>-111.52635710970014</v>
      </c>
      <c r="D204">
        <f t="shared" ca="1" si="90"/>
        <v>45</v>
      </c>
      <c r="E204">
        <f t="shared" ca="1" si="89"/>
        <v>58.701925110988839</v>
      </c>
    </row>
    <row r="205" spans="1:46" x14ac:dyDescent="0.35">
      <c r="B205">
        <v>6</v>
      </c>
      <c r="C205">
        <f t="shared" si="88"/>
        <v>1.1915300212146014</v>
      </c>
      <c r="D205">
        <f t="shared" ca="1" si="90"/>
        <v>29</v>
      </c>
      <c r="E205">
        <f t="shared" ca="1" si="89"/>
        <v>-55.993988413309367</v>
      </c>
    </row>
    <row r="206" spans="1:46" x14ac:dyDescent="0.35">
      <c r="B206">
        <v>7</v>
      </c>
      <c r="C206">
        <f t="shared" si="88"/>
        <v>-85.395294802921754</v>
      </c>
      <c r="D206">
        <f t="shared" ca="1" si="90"/>
        <v>16</v>
      </c>
      <c r="E206">
        <f t="shared" ca="1" si="89"/>
        <v>-23.367700454034996</v>
      </c>
    </row>
    <row r="207" spans="1:46" x14ac:dyDescent="0.35">
      <c r="B207">
        <v>8</v>
      </c>
      <c r="C207">
        <f t="shared" si="88"/>
        <v>82.094163957002237</v>
      </c>
      <c r="D207">
        <f t="shared" ca="1" si="90"/>
        <v>26</v>
      </c>
      <c r="E207">
        <f t="shared" ca="1" si="89"/>
        <v>221.27859232039179</v>
      </c>
    </row>
    <row r="208" spans="1:46" x14ac:dyDescent="0.35">
      <c r="B208">
        <v>9</v>
      </c>
      <c r="C208">
        <f t="shared" si="88"/>
        <v>147.40597884005891</v>
      </c>
      <c r="D208">
        <f t="shared" ca="1" si="90"/>
        <v>13</v>
      </c>
      <c r="E208">
        <f t="shared" ca="1" si="89"/>
        <v>7.4962333817863165</v>
      </c>
    </row>
    <row r="209" spans="2:5" x14ac:dyDescent="0.35">
      <c r="B209">
        <v>10</v>
      </c>
      <c r="C209">
        <f t="shared" si="88"/>
        <v>0</v>
      </c>
      <c r="D209">
        <f t="shared" ca="1" si="90"/>
        <v>32</v>
      </c>
      <c r="E209">
        <f t="shared" ca="1" si="89"/>
        <v>-132.13892016739428</v>
      </c>
    </row>
    <row r="210" spans="2:5" x14ac:dyDescent="0.35">
      <c r="B210">
        <v>11</v>
      </c>
      <c r="C210">
        <f t="shared" ref="C210:C218" si="91">C87</f>
        <v>113.10194491907161</v>
      </c>
      <c r="D210">
        <f t="shared" ca="1" si="90"/>
        <v>27</v>
      </c>
      <c r="E210">
        <f t="shared" ca="1" si="89"/>
        <v>-427.59899772899888</v>
      </c>
    </row>
    <row r="211" spans="2:5" x14ac:dyDescent="0.35">
      <c r="B211">
        <v>12</v>
      </c>
      <c r="C211">
        <f t="shared" si="91"/>
        <v>80.038566526313062</v>
      </c>
      <c r="D211">
        <f t="shared" ca="1" si="90"/>
        <v>40</v>
      </c>
      <c r="E211">
        <f t="shared" ca="1" si="89"/>
        <v>-95.83128243880526</v>
      </c>
    </row>
    <row r="212" spans="2:5" x14ac:dyDescent="0.35">
      <c r="B212">
        <v>13</v>
      </c>
      <c r="C212">
        <f t="shared" si="91"/>
        <v>6.0647514179912392</v>
      </c>
      <c r="D212">
        <f t="shared" ca="1" si="90"/>
        <v>7</v>
      </c>
      <c r="E212">
        <f t="shared" ca="1" si="89"/>
        <v>-105.55140935375273</v>
      </c>
    </row>
    <row r="213" spans="2:5" x14ac:dyDescent="0.35">
      <c r="B213">
        <v>14</v>
      </c>
      <c r="C213">
        <f t="shared" si="91"/>
        <v>-47.928411760038927</v>
      </c>
      <c r="D213">
        <f t="shared" ca="1" si="90"/>
        <v>22</v>
      </c>
      <c r="E213">
        <f t="shared" ca="1" si="89"/>
        <v>-18.872910641928641</v>
      </c>
    </row>
    <row r="214" spans="2:5" x14ac:dyDescent="0.35">
      <c r="B214">
        <v>15</v>
      </c>
      <c r="C214">
        <f t="shared" si="91"/>
        <v>158.24779811911617</v>
      </c>
      <c r="D214">
        <f t="shared" ca="1" si="90"/>
        <v>16</v>
      </c>
      <c r="E214">
        <f t="shared" ca="1" si="89"/>
        <v>-23.367700454034996</v>
      </c>
    </row>
    <row r="215" spans="2:5" x14ac:dyDescent="0.35">
      <c r="B215">
        <v>16</v>
      </c>
      <c r="C215">
        <f t="shared" si="91"/>
        <v>-18.905400518631161</v>
      </c>
      <c r="D215">
        <f t="shared" ca="1" si="90"/>
        <v>34</v>
      </c>
      <c r="E215">
        <f t="shared" ca="1" si="89"/>
        <v>-194.51965982525968</v>
      </c>
    </row>
    <row r="216" spans="2:5" x14ac:dyDescent="0.35">
      <c r="B216">
        <v>17</v>
      </c>
      <c r="C216">
        <f t="shared" si="91"/>
        <v>153.25956188645105</v>
      </c>
      <c r="D216">
        <f t="shared" ca="1" si="90"/>
        <v>36</v>
      </c>
      <c r="E216">
        <f t="shared" ca="1" si="89"/>
        <v>-38.025286908597913</v>
      </c>
    </row>
    <row r="217" spans="2:5" x14ac:dyDescent="0.35">
      <c r="B217">
        <v>18</v>
      </c>
      <c r="C217">
        <f t="shared" si="91"/>
        <v>-96.719554445625747</v>
      </c>
      <c r="D217">
        <f t="shared" ca="1" si="90"/>
        <v>5</v>
      </c>
      <c r="E217">
        <f t="shared" ca="1" si="89"/>
        <v>-137.85026681137478</v>
      </c>
    </row>
    <row r="218" spans="2:5" x14ac:dyDescent="0.35">
      <c r="B218">
        <v>19</v>
      </c>
      <c r="C218">
        <f t="shared" si="91"/>
        <v>-304.7777861263429</v>
      </c>
      <c r="D218">
        <f t="shared" ca="1" si="90"/>
        <v>48</v>
      </c>
      <c r="E218">
        <f t="shared" ca="1" si="89"/>
        <v>-5.3234987913022112</v>
      </c>
    </row>
    <row r="219" spans="2:5" x14ac:dyDescent="0.35">
      <c r="B219">
        <v>20</v>
      </c>
      <c r="C219">
        <f t="shared" ref="C219:C226" si="92">D87</f>
        <v>-371.68907650475467</v>
      </c>
      <c r="D219">
        <f t="shared" ca="1" si="90"/>
        <v>21</v>
      </c>
      <c r="E219">
        <f t="shared" ca="1" si="89"/>
        <v>-108.95257058868056</v>
      </c>
    </row>
    <row r="220" spans="2:5" x14ac:dyDescent="0.35">
      <c r="B220">
        <v>21</v>
      </c>
      <c r="C220">
        <f t="shared" si="92"/>
        <v>-88.146969727086145</v>
      </c>
      <c r="D220">
        <f t="shared" ca="1" si="90"/>
        <v>29</v>
      </c>
      <c r="E220">
        <f t="shared" ca="1" si="89"/>
        <v>-55.993988413309367</v>
      </c>
    </row>
    <row r="221" spans="2:5" x14ac:dyDescent="0.35">
      <c r="B221">
        <v>22</v>
      </c>
      <c r="C221">
        <f t="shared" si="92"/>
        <v>-15.268936510883218</v>
      </c>
      <c r="D221">
        <f t="shared" ca="1" si="90"/>
        <v>28</v>
      </c>
      <c r="E221">
        <f t="shared" ca="1" si="89"/>
        <v>-136.63426046381457</v>
      </c>
    </row>
    <row r="222" spans="2:5" x14ac:dyDescent="0.35">
      <c r="B222">
        <v>23</v>
      </c>
      <c r="C222">
        <f t="shared" si="92"/>
        <v>110.13612181816333</v>
      </c>
      <c r="D222">
        <f t="shared" ca="1" si="90"/>
        <v>21</v>
      </c>
      <c r="E222">
        <f t="shared" ca="1" si="89"/>
        <v>-108.95257058868056</v>
      </c>
    </row>
    <row r="223" spans="2:5" x14ac:dyDescent="0.35">
      <c r="B223">
        <v>24</v>
      </c>
      <c r="C223">
        <f t="shared" si="92"/>
        <v>393.66016318119813</v>
      </c>
      <c r="D223">
        <f t="shared" ca="1" si="90"/>
        <v>27</v>
      </c>
      <c r="E223">
        <f t="shared" ca="1" si="89"/>
        <v>-427.59899772899888</v>
      </c>
    </row>
    <row r="224" spans="2:5" x14ac:dyDescent="0.35">
      <c r="B224">
        <v>25</v>
      </c>
      <c r="C224">
        <f t="shared" si="92"/>
        <v>126.96491275424518</v>
      </c>
      <c r="D224">
        <f t="shared" ca="1" si="90"/>
        <v>12</v>
      </c>
      <c r="E224">
        <f t="shared" ca="1" si="89"/>
        <v>98.930315996958072</v>
      </c>
    </row>
    <row r="225" spans="2:5" x14ac:dyDescent="0.35">
      <c r="B225">
        <v>26</v>
      </c>
      <c r="C225">
        <f t="shared" si="92"/>
        <v>179.02319581016158</v>
      </c>
      <c r="D225">
        <f t="shared" ca="1" si="90"/>
        <v>8</v>
      </c>
      <c r="E225">
        <f t="shared" ca="1" si="89"/>
        <v>101.47110242288387</v>
      </c>
    </row>
    <row r="226" spans="2:5" x14ac:dyDescent="0.35">
      <c r="B226">
        <v>27</v>
      </c>
      <c r="C226">
        <f t="shared" si="92"/>
        <v>-345.94462254997347</v>
      </c>
      <c r="D226">
        <f t="shared" ca="1" si="90"/>
        <v>30</v>
      </c>
      <c r="E226">
        <f t="shared" ca="1" si="89"/>
        <v>329.60278240163615</v>
      </c>
    </row>
    <row r="227" spans="2:5" x14ac:dyDescent="0.35">
      <c r="B227">
        <v>28</v>
      </c>
      <c r="C227">
        <f t="shared" ref="C227:C233" si="93">E87</f>
        <v>-110.54255953496471</v>
      </c>
      <c r="D227">
        <f t="shared" ca="1" si="90"/>
        <v>50</v>
      </c>
      <c r="E227">
        <f t="shared" ca="1" si="89"/>
        <v>-14.994101472152304</v>
      </c>
    </row>
    <row r="228" spans="2:5" x14ac:dyDescent="0.35">
      <c r="B228">
        <v>29</v>
      </c>
      <c r="C228">
        <f t="shared" si="93"/>
        <v>-45.301367144425861</v>
      </c>
      <c r="D228">
        <f t="shared" ca="1" si="90"/>
        <v>19</v>
      </c>
      <c r="E228">
        <f t="shared" ca="1" si="89"/>
        <v>-376.71542606175825</v>
      </c>
    </row>
    <row r="229" spans="2:5" x14ac:dyDescent="0.35">
      <c r="B229">
        <v>30</v>
      </c>
      <c r="C229">
        <f t="shared" si="93"/>
        <v>266.66178067522202</v>
      </c>
      <c r="D229">
        <f t="shared" ca="1" si="90"/>
        <v>39</v>
      </c>
      <c r="E229">
        <f t="shared" ca="1" si="89"/>
        <v>-72.289450483968238</v>
      </c>
    </row>
    <row r="230" spans="2:5" x14ac:dyDescent="0.35">
      <c r="B230">
        <v>31</v>
      </c>
      <c r="C230">
        <f t="shared" si="93"/>
        <v>248.94870181901629</v>
      </c>
      <c r="D230">
        <f t="shared" ca="1" si="90"/>
        <v>52</v>
      </c>
      <c r="E230">
        <f t="shared" ca="1" si="89"/>
        <v>24.427746923591446</v>
      </c>
    </row>
    <row r="231" spans="2:5" x14ac:dyDescent="0.35">
      <c r="B231">
        <v>32</v>
      </c>
      <c r="C231">
        <f t="shared" si="93"/>
        <v>-106.90565016347826</v>
      </c>
      <c r="D231">
        <f t="shared" ca="1" si="90"/>
        <v>35</v>
      </c>
      <c r="E231">
        <f t="shared" ca="1" si="89"/>
        <v>67.165587334910995</v>
      </c>
    </row>
    <row r="232" spans="2:5" x14ac:dyDescent="0.35">
      <c r="B232">
        <v>33</v>
      </c>
      <c r="C232">
        <f t="shared" si="93"/>
        <v>-81.977741991255073</v>
      </c>
      <c r="D232">
        <f t="shared" ca="1" si="90"/>
        <v>31</v>
      </c>
      <c r="E232">
        <f t="shared" ref="E232:E254" ca="1" si="94">VLOOKUP(D232,$B$200:$C$254,2)*SQRT($I$28/$I$32)</f>
        <v>307.70883096576961</v>
      </c>
    </row>
    <row r="233" spans="2:5" x14ac:dyDescent="0.35">
      <c r="B233">
        <v>34</v>
      </c>
      <c r="C233">
        <f t="shared" si="93"/>
        <v>-157.37415348070408</v>
      </c>
      <c r="D233">
        <f t="shared" ca="1" si="90"/>
        <v>7</v>
      </c>
      <c r="E233">
        <f t="shared" ca="1" si="94"/>
        <v>-105.55140935375273</v>
      </c>
    </row>
    <row r="234" spans="2:5" x14ac:dyDescent="0.35">
      <c r="B234">
        <v>35</v>
      </c>
      <c r="C234">
        <f t="shared" ref="C234:C239" si="95">F87</f>
        <v>54.339635692151852</v>
      </c>
      <c r="D234">
        <f t="shared" ca="1" si="90"/>
        <v>14</v>
      </c>
      <c r="E234">
        <f t="shared" ca="1" si="94"/>
        <v>-59.241102463949773</v>
      </c>
    </row>
    <row r="235" spans="2:5" x14ac:dyDescent="0.35">
      <c r="B235">
        <v>36</v>
      </c>
      <c r="C235">
        <f t="shared" si="95"/>
        <v>-30.763971844682441</v>
      </c>
      <c r="D235">
        <f t="shared" ca="1" si="90"/>
        <v>26</v>
      </c>
      <c r="E235">
        <f t="shared" ca="1" si="94"/>
        <v>221.27859232039179</v>
      </c>
    </row>
    <row r="236" spans="2:5" x14ac:dyDescent="0.35">
      <c r="B236">
        <v>37</v>
      </c>
      <c r="C236">
        <f t="shared" si="95"/>
        <v>187.64978165381245</v>
      </c>
      <c r="D236">
        <f t="shared" ca="1" si="90"/>
        <v>49</v>
      </c>
      <c r="E236">
        <f t="shared" ca="1" si="94"/>
        <v>13.058993712603849</v>
      </c>
    </row>
    <row r="237" spans="2:5" x14ac:dyDescent="0.35">
      <c r="B237">
        <v>38</v>
      </c>
      <c r="C237">
        <f t="shared" si="95"/>
        <v>-64.415482052912324</v>
      </c>
      <c r="D237">
        <f t="shared" ca="1" si="90"/>
        <v>22</v>
      </c>
      <c r="E237">
        <f t="shared" ca="1" si="94"/>
        <v>-18.872910641928641</v>
      </c>
    </row>
    <row r="238" spans="2:5" x14ac:dyDescent="0.35">
      <c r="B238">
        <v>39</v>
      </c>
      <c r="C238">
        <f t="shared" si="95"/>
        <v>-58.485045088601694</v>
      </c>
      <c r="D238">
        <f t="shared" ca="1" si="90"/>
        <v>45</v>
      </c>
      <c r="E238">
        <f t="shared" ca="1" si="94"/>
        <v>58.701925110988839</v>
      </c>
    </row>
    <row r="239" spans="2:5" x14ac:dyDescent="0.35">
      <c r="B239">
        <v>40</v>
      </c>
      <c r="C239">
        <f t="shared" si="95"/>
        <v>-77.531324927902347</v>
      </c>
      <c r="D239">
        <f t="shared" ca="1" si="90"/>
        <v>12</v>
      </c>
      <c r="E239">
        <f t="shared" ca="1" si="94"/>
        <v>98.930315996958072</v>
      </c>
    </row>
    <row r="240" spans="2:5" x14ac:dyDescent="0.35">
      <c r="B240">
        <v>41</v>
      </c>
      <c r="C240">
        <f>G87</f>
        <v>-27.241917137289118</v>
      </c>
      <c r="D240">
        <f t="shared" ca="1" si="90"/>
        <v>15</v>
      </c>
      <c r="E240">
        <f t="shared" ca="1" si="94"/>
        <v>195.59951349953485</v>
      </c>
    </row>
    <row r="241" spans="2:5" x14ac:dyDescent="0.35">
      <c r="B241">
        <v>42</v>
      </c>
      <c r="C241">
        <f>G88</f>
        <v>-23.58916770821406</v>
      </c>
      <c r="D241">
        <f t="shared" ca="1" si="90"/>
        <v>34</v>
      </c>
      <c r="E241">
        <f t="shared" ca="1" si="94"/>
        <v>-194.51965982525968</v>
      </c>
    </row>
    <row r="242" spans="2:5" x14ac:dyDescent="0.35">
      <c r="B242">
        <v>43</v>
      </c>
      <c r="C242">
        <f>G89</f>
        <v>-25.194612491653164</v>
      </c>
      <c r="D242">
        <f t="shared" ca="1" si="90"/>
        <v>13</v>
      </c>
      <c r="E242">
        <f t="shared" ca="1" si="94"/>
        <v>7.4962333817863165</v>
      </c>
    </row>
    <row r="243" spans="2:5" x14ac:dyDescent="0.35">
      <c r="B243">
        <v>44</v>
      </c>
      <c r="C243">
        <f>G90</f>
        <v>26.49496655175373</v>
      </c>
      <c r="D243">
        <f t="shared" ca="1" si="90"/>
        <v>16</v>
      </c>
      <c r="E243">
        <f t="shared" ca="1" si="94"/>
        <v>-23.367700454034996</v>
      </c>
    </row>
    <row r="244" spans="2:5" x14ac:dyDescent="0.35">
      <c r="B244">
        <v>45</v>
      </c>
      <c r="C244">
        <f>G91</f>
        <v>47.49219580338746</v>
      </c>
      <c r="D244">
        <f t="shared" ca="1" si="90"/>
        <v>27</v>
      </c>
      <c r="E244">
        <f t="shared" ca="1" si="94"/>
        <v>-427.59899772899888</v>
      </c>
    </row>
    <row r="245" spans="2:5" x14ac:dyDescent="0.35">
      <c r="B245">
        <v>46</v>
      </c>
      <c r="C245">
        <f>H87</f>
        <v>-0.18595192505263319</v>
      </c>
      <c r="D245">
        <f t="shared" ca="1" si="90"/>
        <v>25</v>
      </c>
      <c r="E245">
        <f t="shared" ca="1" si="94"/>
        <v>156.93283231371097</v>
      </c>
    </row>
    <row r="246" spans="2:5" x14ac:dyDescent="0.35">
      <c r="B246">
        <v>47</v>
      </c>
      <c r="C246">
        <f>H88</f>
        <v>-6.0224721290711845</v>
      </c>
      <c r="D246">
        <f t="shared" ca="1" si="90"/>
        <v>21</v>
      </c>
      <c r="E246">
        <f t="shared" ca="1" si="94"/>
        <v>-108.95257058868056</v>
      </c>
    </row>
    <row r="247" spans="2:5" x14ac:dyDescent="0.35">
      <c r="B247">
        <v>48</v>
      </c>
      <c r="C247">
        <f>H89</f>
        <v>-4.3069225835030238</v>
      </c>
      <c r="D247">
        <f t="shared" ca="1" si="90"/>
        <v>27</v>
      </c>
      <c r="E247">
        <f t="shared" ca="1" si="94"/>
        <v>-427.59899772899888</v>
      </c>
    </row>
    <row r="248" spans="2:5" x14ac:dyDescent="0.35">
      <c r="B248">
        <v>49</v>
      </c>
      <c r="C248">
        <f>H90</f>
        <v>10.565246117935031</v>
      </c>
      <c r="D248">
        <f t="shared" ca="1" si="90"/>
        <v>17</v>
      </c>
      <c r="E248">
        <f t="shared" ca="1" si="94"/>
        <v>189.43388849920706</v>
      </c>
    </row>
    <row r="249" spans="2:5" x14ac:dyDescent="0.35">
      <c r="B249">
        <v>50</v>
      </c>
      <c r="C249">
        <f>I87</f>
        <v>-12.130825380341976</v>
      </c>
      <c r="D249">
        <f t="shared" ca="1" si="90"/>
        <v>16</v>
      </c>
      <c r="E249">
        <f t="shared" ca="1" si="94"/>
        <v>-23.367700454034996</v>
      </c>
    </row>
    <row r="250" spans="2:5" x14ac:dyDescent="0.35">
      <c r="B250">
        <v>51</v>
      </c>
      <c r="C250">
        <f>I88</f>
        <v>-8.3656034282532552</v>
      </c>
      <c r="D250">
        <f t="shared" ca="1" si="90"/>
        <v>43</v>
      </c>
      <c r="E250">
        <f t="shared" ca="1" si="94"/>
        <v>-31.141374507259943</v>
      </c>
    </row>
    <row r="251" spans="2:5" x14ac:dyDescent="0.35">
      <c r="B251">
        <v>52</v>
      </c>
      <c r="C251">
        <f>I89</f>
        <v>19.763020339406687</v>
      </c>
      <c r="D251">
        <f t="shared" ca="1" si="90"/>
        <v>16</v>
      </c>
      <c r="E251">
        <f t="shared" ca="1" si="94"/>
        <v>-23.367700454034996</v>
      </c>
    </row>
    <row r="252" spans="2:5" x14ac:dyDescent="0.35">
      <c r="B252">
        <v>53</v>
      </c>
      <c r="C252">
        <f>J87</f>
        <v>5.6346393317047125</v>
      </c>
      <c r="D252">
        <f t="shared" ca="1" si="90"/>
        <v>45</v>
      </c>
      <c r="E252">
        <f t="shared" ca="1" si="94"/>
        <v>58.701925110988839</v>
      </c>
    </row>
    <row r="253" spans="2:5" x14ac:dyDescent="0.35">
      <c r="B253">
        <v>54</v>
      </c>
      <c r="C253">
        <f>J88</f>
        <v>-5.0952863359008473</v>
      </c>
      <c r="D253">
        <f t="shared" ca="1" si="90"/>
        <v>7</v>
      </c>
      <c r="E253">
        <f t="shared" ca="1" si="94"/>
        <v>-105.55140935375273</v>
      </c>
    </row>
    <row r="254" spans="2:5" x14ac:dyDescent="0.35">
      <c r="B254">
        <v>55</v>
      </c>
      <c r="C254">
        <f>K87</f>
        <v>0</v>
      </c>
      <c r="D254">
        <f t="shared" ca="1" si="90"/>
        <v>3</v>
      </c>
      <c r="E254">
        <f t="shared" ca="1" si="94"/>
        <v>-20.19779813517464</v>
      </c>
    </row>
    <row r="255" spans="2:5" x14ac:dyDescent="0.35">
      <c r="B255" t="s">
        <v>13</v>
      </c>
      <c r="C255">
        <f>AVERAGE(C$200:C$254)</f>
        <v>0.60225691288442096</v>
      </c>
    </row>
    <row r="256" spans="2:5" x14ac:dyDescent="0.35">
      <c r="B256" t="s">
        <v>14</v>
      </c>
      <c r="C256">
        <f>STDEV(C$200:C$254)</f>
        <v>132.76057346500494</v>
      </c>
    </row>
    <row r="257" spans="2:3" x14ac:dyDescent="0.35">
      <c r="B257" t="s">
        <v>31</v>
      </c>
      <c r="C257">
        <f>SKEW(C$200:C$254)</f>
        <v>-8.1789214551499206E-2</v>
      </c>
    </row>
  </sheetData>
  <phoneticPr fontId="0" type="noConversion"/>
  <printOptions gridLines="1" gridLinesSet="0"/>
  <pageMargins left="0.78740157499999996" right="0.78740157499999996" top="0.984251969" bottom="0.984251969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autoPict="0" r:id="rId5">
            <anchor moveWithCells="1">
              <from>
                <xdr:col>5</xdr:col>
                <xdr:colOff>863600</xdr:colOff>
                <xdr:row>21</xdr:row>
                <xdr:rowOff>0</xdr:rowOff>
              </from>
              <to>
                <xdr:col>7</xdr:col>
                <xdr:colOff>273050</xdr:colOff>
                <xdr:row>23</xdr:row>
                <xdr:rowOff>0</xdr:rowOff>
              </to>
            </anchor>
          </controlPr>
        </control>
      </mc:Choice>
      <mc:Fallback>
        <control shapeId="102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K1000"/>
  <sheetViews>
    <sheetView topLeftCell="A998" workbookViewId="0">
      <selection activeCell="K1" sqref="K1:K1048576"/>
    </sheetView>
  </sheetViews>
  <sheetFormatPr baseColWidth="10" defaultRowHeight="15.5" x14ac:dyDescent="0.35"/>
  <cols>
    <col min="1" max="1" width="11.08203125" bestFit="1" customWidth="1"/>
    <col min="2" max="3" width="12.58203125" bestFit="1" customWidth="1"/>
    <col min="4" max="6" width="12.6640625" bestFit="1" customWidth="1"/>
    <col min="7" max="8" width="13.6640625" bestFit="1" customWidth="1"/>
    <col min="9" max="10" width="14.6640625" bestFit="1" customWidth="1"/>
    <col min="11" max="11" width="14.58203125" style="68" bestFit="1" customWidth="1"/>
  </cols>
  <sheetData>
    <row r="1" spans="1:11" x14ac:dyDescent="0.35">
      <c r="A1">
        <v>1</v>
      </c>
      <c r="B1">
        <v>-33934.346388632941</v>
      </c>
      <c r="C1">
        <v>-42530.723890826703</v>
      </c>
      <c r="D1">
        <v>-37327.069481022729</v>
      </c>
      <c r="E1">
        <v>-38124.150727196444</v>
      </c>
      <c r="F1">
        <v>-45230.174466316545</v>
      </c>
      <c r="G1">
        <v>-47063.905194716761</v>
      </c>
      <c r="H1">
        <v>-32352.743594503656</v>
      </c>
      <c r="I1">
        <v>132663.60327096574</v>
      </c>
      <c r="J1">
        <v>5595081.855168907</v>
      </c>
      <c r="K1" s="68">
        <v>6139596.9416375849</v>
      </c>
    </row>
    <row r="2" spans="1:11" x14ac:dyDescent="0.35">
      <c r="A2">
        <v>2</v>
      </c>
      <c r="B2">
        <v>-33200.799691538887</v>
      </c>
      <c r="C2">
        <v>-42054.575809490685</v>
      </c>
      <c r="D2">
        <v>-35262.450506573376</v>
      </c>
      <c r="E2">
        <v>-36786.691786718315</v>
      </c>
      <c r="F2">
        <v>-42913.516900193776</v>
      </c>
      <c r="G2">
        <v>-40664.403244645408</v>
      </c>
      <c r="H2">
        <v>-28203.764127576585</v>
      </c>
      <c r="I2">
        <v>145282.76388406809</v>
      </c>
      <c r="J2">
        <v>5742421.3106224099</v>
      </c>
      <c r="K2" s="68">
        <v>6197466.8312956169</v>
      </c>
    </row>
    <row r="3" spans="1:11" x14ac:dyDescent="0.35">
      <c r="A3">
        <v>3</v>
      </c>
      <c r="B3">
        <v>-32379.209698909992</v>
      </c>
      <c r="C3">
        <v>-37944.45358080772</v>
      </c>
      <c r="D3">
        <v>-32912.649413005391</v>
      </c>
      <c r="E3">
        <v>-36519.447404083825</v>
      </c>
      <c r="F3">
        <v>-42527.422467668533</v>
      </c>
      <c r="G3">
        <v>-37933.441512815793</v>
      </c>
      <c r="H3">
        <v>-24470.938906417927</v>
      </c>
      <c r="I3">
        <v>148146.13121759385</v>
      </c>
      <c r="J3">
        <v>5847803.0715446258</v>
      </c>
      <c r="K3" s="68">
        <v>6230462.9446496647</v>
      </c>
    </row>
    <row r="4" spans="1:11" x14ac:dyDescent="0.35">
      <c r="A4">
        <v>4</v>
      </c>
      <c r="B4">
        <v>-32271.276824888861</v>
      </c>
      <c r="C4">
        <v>-34940.437178427062</v>
      </c>
      <c r="D4">
        <v>-30573.036173951565</v>
      </c>
      <c r="E4">
        <v>-34046.203759552125</v>
      </c>
      <c r="F4">
        <v>-37843.920778464861</v>
      </c>
      <c r="G4">
        <v>-36737.359018102943</v>
      </c>
      <c r="H4">
        <v>-23459.044013333973</v>
      </c>
      <c r="I4">
        <v>150153.22782759654</v>
      </c>
      <c r="J4">
        <v>5924614.4699855233</v>
      </c>
      <c r="K4" s="68">
        <v>6329989.3237013994</v>
      </c>
    </row>
    <row r="5" spans="1:11" x14ac:dyDescent="0.35">
      <c r="A5">
        <v>5</v>
      </c>
      <c r="B5">
        <v>-30965.274609518012</v>
      </c>
      <c r="C5">
        <v>-33566.121900255894</v>
      </c>
      <c r="D5">
        <v>-30427.866756860371</v>
      </c>
      <c r="E5">
        <v>-33148.79327227379</v>
      </c>
      <c r="F5">
        <v>-37470.232196423312</v>
      </c>
      <c r="G5">
        <v>-36131.973384759542</v>
      </c>
      <c r="H5">
        <v>-21856.301760440121</v>
      </c>
      <c r="I5">
        <v>152242.70164716055</v>
      </c>
      <c r="J5">
        <v>5957333.4616104746</v>
      </c>
      <c r="K5" s="68">
        <v>6410902.6235653292</v>
      </c>
    </row>
    <row r="6" spans="1:11" x14ac:dyDescent="0.35">
      <c r="A6">
        <v>6</v>
      </c>
      <c r="B6">
        <v>-30693.307765340796</v>
      </c>
      <c r="C6">
        <v>-33242.586476104363</v>
      </c>
      <c r="D6">
        <v>-30384.407108637028</v>
      </c>
      <c r="E6">
        <v>-32709.432053322209</v>
      </c>
      <c r="F6">
        <v>-33786.942518195494</v>
      </c>
      <c r="G6">
        <v>-36125.401358387455</v>
      </c>
      <c r="H6">
        <v>-20758.426318727277</v>
      </c>
      <c r="I6">
        <v>158144.43270392451</v>
      </c>
      <c r="J6">
        <v>5968965.7918588817</v>
      </c>
      <c r="K6" s="68">
        <v>6419063.8422727995</v>
      </c>
    </row>
    <row r="7" spans="1:11" x14ac:dyDescent="0.35">
      <c r="A7">
        <v>7</v>
      </c>
      <c r="B7">
        <v>-30557.623678970143</v>
      </c>
      <c r="C7">
        <v>-33221.436059633481</v>
      </c>
      <c r="D7">
        <v>-30009.135098665171</v>
      </c>
      <c r="E7">
        <v>-32280.120667550236</v>
      </c>
      <c r="F7">
        <v>-32884.858937396304</v>
      </c>
      <c r="G7">
        <v>-35965.730383504073</v>
      </c>
      <c r="H7">
        <v>-16113.966681405334</v>
      </c>
      <c r="I7">
        <v>158366.9759324879</v>
      </c>
      <c r="J7">
        <v>5975866.1401705127</v>
      </c>
      <c r="K7" s="68">
        <v>6426350.8803235525</v>
      </c>
    </row>
    <row r="8" spans="1:11" x14ac:dyDescent="0.35">
      <c r="A8">
        <v>8</v>
      </c>
      <c r="B8">
        <v>-29615.417210855048</v>
      </c>
      <c r="C8">
        <v>-30863.43674676113</v>
      </c>
      <c r="D8">
        <v>-29331.808744178787</v>
      </c>
      <c r="E8">
        <v>-32270.784876469472</v>
      </c>
      <c r="F8">
        <v>-32010.376981825648</v>
      </c>
      <c r="G8">
        <v>-33891.339898505197</v>
      </c>
      <c r="H8">
        <v>-12193.491295149413</v>
      </c>
      <c r="I8">
        <v>159281.20415836904</v>
      </c>
      <c r="J8">
        <v>6044222.696079487</v>
      </c>
      <c r="K8" s="68">
        <v>6477001.436386155</v>
      </c>
    </row>
    <row r="9" spans="1:11" x14ac:dyDescent="0.35">
      <c r="A9">
        <v>9</v>
      </c>
      <c r="B9">
        <v>-29497.272126534288</v>
      </c>
      <c r="C9">
        <v>-30455.62440688616</v>
      </c>
      <c r="D9">
        <v>-28977.20204185864</v>
      </c>
      <c r="E9">
        <v>-32238.511091988777</v>
      </c>
      <c r="F9">
        <v>-30716.157739257826</v>
      </c>
      <c r="G9">
        <v>-33721.048154651668</v>
      </c>
      <c r="H9">
        <v>-10972.784712696732</v>
      </c>
      <c r="I9">
        <v>160369.84254700204</v>
      </c>
      <c r="J9">
        <v>6053565.2895089816</v>
      </c>
      <c r="K9" s="68">
        <v>6480518.1510766204</v>
      </c>
    </row>
    <row r="10" spans="1:11" x14ac:dyDescent="0.35">
      <c r="A10">
        <v>10</v>
      </c>
      <c r="B10">
        <v>-28648.446002032186</v>
      </c>
      <c r="C10">
        <v>-30065.818921191356</v>
      </c>
      <c r="D10">
        <v>-28535.618646582461</v>
      </c>
      <c r="E10">
        <v>-31385.944982477726</v>
      </c>
      <c r="F10">
        <v>-30512.267096067342</v>
      </c>
      <c r="G10">
        <v>-31775.346058168889</v>
      </c>
      <c r="H10">
        <v>-9346.1856077663178</v>
      </c>
      <c r="I10">
        <v>166985.85976404158</v>
      </c>
      <c r="J10">
        <v>6099756.3994440893</v>
      </c>
      <c r="K10" s="68">
        <v>6498139.439802099</v>
      </c>
    </row>
    <row r="11" spans="1:11" x14ac:dyDescent="0.35">
      <c r="A11">
        <v>11</v>
      </c>
      <c r="B11">
        <v>-28269.399943184028</v>
      </c>
      <c r="C11">
        <v>-29417.174970481472</v>
      </c>
      <c r="D11">
        <v>-26976.329337752395</v>
      </c>
      <c r="E11">
        <v>-30994.507108765403</v>
      </c>
      <c r="F11">
        <v>-30483.137948737269</v>
      </c>
      <c r="G11">
        <v>-31717.604547022533</v>
      </c>
      <c r="H11">
        <v>-8456.7740137850014</v>
      </c>
      <c r="I11">
        <v>168605.45947102562</v>
      </c>
      <c r="J11">
        <v>6100786.2437934531</v>
      </c>
      <c r="K11" s="68">
        <v>6565011.668529653</v>
      </c>
    </row>
    <row r="12" spans="1:11" x14ac:dyDescent="0.35">
      <c r="A12">
        <v>12</v>
      </c>
      <c r="B12">
        <v>-26893.997224538274</v>
      </c>
      <c r="C12">
        <v>-28962.341448911047</v>
      </c>
      <c r="D12">
        <v>-25315.992849907674</v>
      </c>
      <c r="E12">
        <v>-30808.501895725432</v>
      </c>
      <c r="F12">
        <v>-29769.94731538817</v>
      </c>
      <c r="G12">
        <v>-30156.859230218412</v>
      </c>
      <c r="H12">
        <v>-7512.5069291560494</v>
      </c>
      <c r="I12">
        <v>168991.77862255095</v>
      </c>
      <c r="J12">
        <v>6111982.0746121351</v>
      </c>
      <c r="K12" s="68">
        <v>6578270.9839808987</v>
      </c>
    </row>
    <row r="13" spans="1:11" x14ac:dyDescent="0.35">
      <c r="A13">
        <v>13</v>
      </c>
      <c r="B13">
        <v>-26799.186887278855</v>
      </c>
      <c r="C13">
        <v>-28822.819646186108</v>
      </c>
      <c r="D13">
        <v>-25018.075082627922</v>
      </c>
      <c r="E13">
        <v>-30229.179839569275</v>
      </c>
      <c r="F13">
        <v>-29381.328089925526</v>
      </c>
      <c r="G13">
        <v>-29225.82057016145</v>
      </c>
      <c r="H13">
        <v>-5542.2973095374909</v>
      </c>
      <c r="I13">
        <v>171927.31378977542</v>
      </c>
      <c r="J13">
        <v>6150150.9780822163</v>
      </c>
      <c r="K13" s="68">
        <v>6608757.3648087308</v>
      </c>
    </row>
    <row r="14" spans="1:11" x14ac:dyDescent="0.35">
      <c r="A14">
        <v>14</v>
      </c>
      <c r="B14">
        <v>-26208.821756340913</v>
      </c>
      <c r="C14">
        <v>-28134.973397907743</v>
      </c>
      <c r="D14">
        <v>-24575.582509652995</v>
      </c>
      <c r="E14">
        <v>-30041.312129190195</v>
      </c>
      <c r="F14">
        <v>-28271.477715246638</v>
      </c>
      <c r="G14">
        <v>-28638.37897341904</v>
      </c>
      <c r="H14">
        <v>-3485.7139418415982</v>
      </c>
      <c r="I14">
        <v>172606.65915964887</v>
      </c>
      <c r="J14">
        <v>6174982.6326152468</v>
      </c>
      <c r="K14" s="68">
        <v>6616009.270455163</v>
      </c>
    </row>
    <row r="15" spans="1:11" x14ac:dyDescent="0.35">
      <c r="A15">
        <v>15</v>
      </c>
      <c r="B15">
        <v>-26189.942933746817</v>
      </c>
      <c r="C15">
        <v>-28128.464528610075</v>
      </c>
      <c r="D15">
        <v>-24538.046767703629</v>
      </c>
      <c r="E15">
        <v>-29995.962500262918</v>
      </c>
      <c r="F15">
        <v>-28231.208876217184</v>
      </c>
      <c r="G15">
        <v>-28238.27241953219</v>
      </c>
      <c r="H15">
        <v>-3114.0537398697161</v>
      </c>
      <c r="I15">
        <v>179029.69326985948</v>
      </c>
      <c r="J15">
        <v>6187799.717342603</v>
      </c>
      <c r="K15" s="68">
        <v>6617475.6590096941</v>
      </c>
    </row>
    <row r="16" spans="1:11" x14ac:dyDescent="0.35">
      <c r="A16">
        <v>16</v>
      </c>
      <c r="B16">
        <v>-25459.945534457656</v>
      </c>
      <c r="C16">
        <v>-28114.679443765843</v>
      </c>
      <c r="D16">
        <v>-24536.276248876275</v>
      </c>
      <c r="E16">
        <v>-29848.493482944607</v>
      </c>
      <c r="F16">
        <v>-27454.193813271726</v>
      </c>
      <c r="G16">
        <v>-28027.131805006029</v>
      </c>
      <c r="H16">
        <v>-2777.6760021540263</v>
      </c>
      <c r="I16">
        <v>179388.90419212339</v>
      </c>
      <c r="J16">
        <v>6228048.2079712609</v>
      </c>
      <c r="K16" s="68">
        <v>6627283.2325724894</v>
      </c>
    </row>
    <row r="17" spans="1:11" x14ac:dyDescent="0.35">
      <c r="A17">
        <v>17</v>
      </c>
      <c r="B17">
        <v>-25295.170318743163</v>
      </c>
      <c r="C17">
        <v>-27417.083376271308</v>
      </c>
      <c r="D17">
        <v>-23915.778584012714</v>
      </c>
      <c r="E17">
        <v>-29733.157951670903</v>
      </c>
      <c r="F17">
        <v>-27126.838161412699</v>
      </c>
      <c r="G17">
        <v>-27202.614306547242</v>
      </c>
      <c r="H17">
        <v>-2286.8230681888708</v>
      </c>
      <c r="I17">
        <v>179989.80176255561</v>
      </c>
      <c r="J17">
        <v>6235957.5080928486</v>
      </c>
      <c r="K17" s="68">
        <v>6629572.813625535</v>
      </c>
    </row>
    <row r="18" spans="1:11" x14ac:dyDescent="0.35">
      <c r="A18">
        <v>18</v>
      </c>
      <c r="B18">
        <v>-24889.417561254839</v>
      </c>
      <c r="C18">
        <v>-26824.568178833415</v>
      </c>
      <c r="D18">
        <v>-23886.887979391591</v>
      </c>
      <c r="E18">
        <v>-29600.113188742263</v>
      </c>
      <c r="F18">
        <v>-26945.14010086318</v>
      </c>
      <c r="G18">
        <v>-26944.027682892338</v>
      </c>
      <c r="H18">
        <v>-2143.7451062391374</v>
      </c>
      <c r="I18">
        <v>183844.83651947652</v>
      </c>
      <c r="J18">
        <v>6238032.310505026</v>
      </c>
      <c r="K18" s="68">
        <v>6633689.5574525222</v>
      </c>
    </row>
    <row r="19" spans="1:11" x14ac:dyDescent="0.35">
      <c r="A19">
        <v>19</v>
      </c>
      <c r="B19">
        <v>-24664.952088648875</v>
      </c>
      <c r="C19">
        <v>-25810.642914397045</v>
      </c>
      <c r="D19">
        <v>-23423.629830237202</v>
      </c>
      <c r="E19">
        <v>-29154.353395969989</v>
      </c>
      <c r="F19">
        <v>-26925.9964628161</v>
      </c>
      <c r="G19">
        <v>-26872.971237155689</v>
      </c>
      <c r="H19">
        <v>-1729.9805969380384</v>
      </c>
      <c r="I19">
        <v>187502.01519682171</v>
      </c>
      <c r="J19">
        <v>6262292.1703464417</v>
      </c>
      <c r="K19" s="68">
        <v>6637395.7375007244</v>
      </c>
    </row>
    <row r="20" spans="1:11" x14ac:dyDescent="0.35">
      <c r="A20">
        <v>20</v>
      </c>
      <c r="B20">
        <v>-24477.199947360863</v>
      </c>
      <c r="C20">
        <v>-25345.091654556763</v>
      </c>
      <c r="D20">
        <v>-23274.08638965194</v>
      </c>
      <c r="E20">
        <v>-28644.963491395669</v>
      </c>
      <c r="F20">
        <v>-26356.877748840918</v>
      </c>
      <c r="G20">
        <v>-26867.063791842545</v>
      </c>
      <c r="H20">
        <v>-857.69798180526413</v>
      </c>
      <c r="I20">
        <v>188118.04214370152</v>
      </c>
      <c r="J20">
        <v>6271106.5069316477</v>
      </c>
      <c r="K20" s="68">
        <v>6644896.0487698102</v>
      </c>
    </row>
    <row r="21" spans="1:11" x14ac:dyDescent="0.35">
      <c r="A21">
        <v>21</v>
      </c>
      <c r="B21">
        <v>-24351.267805961514</v>
      </c>
      <c r="C21">
        <v>-25085.512137244848</v>
      </c>
      <c r="D21">
        <v>-23140.877296704668</v>
      </c>
      <c r="E21">
        <v>-27542.455598159482</v>
      </c>
      <c r="F21">
        <v>-26026.712250143028</v>
      </c>
      <c r="G21">
        <v>-26314.118186312779</v>
      </c>
      <c r="H21">
        <v>487.69933083477281</v>
      </c>
      <c r="I21">
        <v>188792.85909907505</v>
      </c>
      <c r="J21">
        <v>6272025.4062232841</v>
      </c>
      <c r="K21" s="68">
        <v>6653836.7361075357</v>
      </c>
    </row>
    <row r="22" spans="1:11" x14ac:dyDescent="0.35">
      <c r="A22">
        <v>22</v>
      </c>
      <c r="B22">
        <v>-24026.617996321995</v>
      </c>
      <c r="C22">
        <v>-25000.384963733268</v>
      </c>
      <c r="D22">
        <v>-22239.379494775432</v>
      </c>
      <c r="E22">
        <v>-27312.157361340258</v>
      </c>
      <c r="F22">
        <v>-25352.885087082646</v>
      </c>
      <c r="G22">
        <v>-26002.518606188081</v>
      </c>
      <c r="H22">
        <v>768.90552089665471</v>
      </c>
      <c r="I22">
        <v>189232.77037707975</v>
      </c>
      <c r="J22">
        <v>6275418.9196227072</v>
      </c>
      <c r="K22" s="68">
        <v>6677068.70828918</v>
      </c>
    </row>
    <row r="23" spans="1:11" x14ac:dyDescent="0.35">
      <c r="A23">
        <v>23</v>
      </c>
      <c r="B23">
        <v>-23906.563774466977</v>
      </c>
      <c r="C23">
        <v>-24814.504535950629</v>
      </c>
      <c r="D23">
        <v>-22028.259973330612</v>
      </c>
      <c r="E23">
        <v>-27164.30869583413</v>
      </c>
      <c r="F23">
        <v>-25169.09711627107</v>
      </c>
      <c r="G23">
        <v>-25752.417747594227</v>
      </c>
      <c r="H23">
        <v>2208.0958808375326</v>
      </c>
      <c r="I23">
        <v>190394.19175707921</v>
      </c>
      <c r="J23">
        <v>6282992.2077955902</v>
      </c>
      <c r="K23" s="68">
        <v>6686606.2599994354</v>
      </c>
    </row>
    <row r="24" spans="1:11" x14ac:dyDescent="0.35">
      <c r="A24">
        <v>24</v>
      </c>
      <c r="B24">
        <v>-23618.21620403311</v>
      </c>
      <c r="C24">
        <v>-24693.033944648061</v>
      </c>
      <c r="D24">
        <v>-21674.349413687334</v>
      </c>
      <c r="E24">
        <v>-26375.612869275603</v>
      </c>
      <c r="F24">
        <v>-24712.841103945648</v>
      </c>
      <c r="G24">
        <v>-25706.945975150684</v>
      </c>
      <c r="H24">
        <v>2321.0616340430488</v>
      </c>
      <c r="I24">
        <v>190721.23638783849</v>
      </c>
      <c r="J24">
        <v>6286375.8938866686</v>
      </c>
      <c r="K24" s="68">
        <v>6690857.131163015</v>
      </c>
    </row>
    <row r="25" spans="1:11" x14ac:dyDescent="0.35">
      <c r="A25">
        <v>25</v>
      </c>
      <c r="B25">
        <v>-22913.194408766474</v>
      </c>
      <c r="C25">
        <v>-23956.160250166686</v>
      </c>
      <c r="D25">
        <v>-21615.322346315435</v>
      </c>
      <c r="E25">
        <v>-24064.269518203764</v>
      </c>
      <c r="F25">
        <v>-24241.319927977569</v>
      </c>
      <c r="G25">
        <v>-25212.817772353781</v>
      </c>
      <c r="H25">
        <v>2437.7201603926383</v>
      </c>
      <c r="I25">
        <v>191648.24930531433</v>
      </c>
      <c r="J25">
        <v>6289953.9408612512</v>
      </c>
      <c r="K25" s="68">
        <v>6698862.3219479807</v>
      </c>
    </row>
    <row r="26" spans="1:11" x14ac:dyDescent="0.35">
      <c r="A26">
        <v>26</v>
      </c>
      <c r="B26">
        <v>-22381.839172790045</v>
      </c>
      <c r="C26">
        <v>-23880.388019769609</v>
      </c>
      <c r="D26">
        <v>-21615.229613722047</v>
      </c>
      <c r="E26">
        <v>-23920.255503558728</v>
      </c>
      <c r="F26">
        <v>-23905.8035657285</v>
      </c>
      <c r="G26">
        <v>-25064.129908038471</v>
      </c>
      <c r="H26">
        <v>2568.8783992246681</v>
      </c>
      <c r="I26">
        <v>192202.27787233729</v>
      </c>
      <c r="J26">
        <v>6294380.2611207422</v>
      </c>
      <c r="K26" s="68">
        <v>6706570.6629683021</v>
      </c>
    </row>
    <row r="27" spans="1:11" x14ac:dyDescent="0.35">
      <c r="A27">
        <v>27</v>
      </c>
      <c r="B27">
        <v>-22237.641434783884</v>
      </c>
      <c r="C27">
        <v>-23403.022774447218</v>
      </c>
      <c r="D27">
        <v>-21410.048210000386</v>
      </c>
      <c r="E27">
        <v>-23475.090127167681</v>
      </c>
      <c r="F27">
        <v>-23717.123047693553</v>
      </c>
      <c r="G27">
        <v>-24708.958475456853</v>
      </c>
      <c r="H27">
        <v>3626.3921772792437</v>
      </c>
      <c r="I27">
        <v>192260.67031341209</v>
      </c>
      <c r="J27">
        <v>6306945.8874549679</v>
      </c>
      <c r="K27" s="68">
        <v>6711487.8137392821</v>
      </c>
    </row>
    <row r="28" spans="1:11" x14ac:dyDescent="0.35">
      <c r="A28">
        <v>28</v>
      </c>
      <c r="B28">
        <v>-21757.494309269983</v>
      </c>
      <c r="C28">
        <v>-23111.248822793968</v>
      </c>
      <c r="D28">
        <v>-21079.432535684227</v>
      </c>
      <c r="E28">
        <v>-23297.230752730698</v>
      </c>
      <c r="F28">
        <v>-23695.992915537547</v>
      </c>
      <c r="G28">
        <v>-23739.472734026356</v>
      </c>
      <c r="H28">
        <v>4084.8947730973559</v>
      </c>
      <c r="I28">
        <v>192624.81918225827</v>
      </c>
      <c r="J28">
        <v>6312503.2587724533</v>
      </c>
      <c r="K28" s="68">
        <v>6717945.2599104941</v>
      </c>
    </row>
    <row r="29" spans="1:11" x14ac:dyDescent="0.35">
      <c r="A29">
        <v>29</v>
      </c>
      <c r="B29">
        <v>-21218.470333931939</v>
      </c>
      <c r="C29">
        <v>-23060.171240071097</v>
      </c>
      <c r="D29">
        <v>-20629.878962271076</v>
      </c>
      <c r="E29">
        <v>-22996.334823945439</v>
      </c>
      <c r="F29">
        <v>-23381.636367636951</v>
      </c>
      <c r="G29">
        <v>-23634.45709464161</v>
      </c>
      <c r="H29">
        <v>4712.7330070151829</v>
      </c>
      <c r="I29">
        <v>192715.09417257557</v>
      </c>
      <c r="J29">
        <v>6316730.2985869329</v>
      </c>
      <c r="K29" s="68">
        <v>6723494.0365521535</v>
      </c>
    </row>
    <row r="30" spans="1:11" x14ac:dyDescent="0.35">
      <c r="A30">
        <v>30</v>
      </c>
      <c r="B30">
        <v>-21114.858189952385</v>
      </c>
      <c r="C30">
        <v>-22940.344720095629</v>
      </c>
      <c r="D30">
        <v>-20188.144937891997</v>
      </c>
      <c r="E30">
        <v>-22935.163138817123</v>
      </c>
      <c r="F30">
        <v>-23300.202114057134</v>
      </c>
      <c r="G30">
        <v>-23618.687738042048</v>
      </c>
      <c r="H30">
        <v>5176.446588963292</v>
      </c>
      <c r="I30">
        <v>198414.52904829488</v>
      </c>
      <c r="J30">
        <v>6322013.9022745108</v>
      </c>
      <c r="K30" s="68">
        <v>6728593.949332037</v>
      </c>
    </row>
    <row r="31" spans="1:11" x14ac:dyDescent="0.35">
      <c r="A31">
        <v>31</v>
      </c>
      <c r="B31">
        <v>-20917.368880291731</v>
      </c>
      <c r="C31">
        <v>-21912.520967005225</v>
      </c>
      <c r="D31">
        <v>-19509.672936380506</v>
      </c>
      <c r="E31">
        <v>-22874.167965152483</v>
      </c>
      <c r="F31">
        <v>-23296.948748172472</v>
      </c>
      <c r="G31">
        <v>-23052.154378764222</v>
      </c>
      <c r="H31">
        <v>5707.1640560692194</v>
      </c>
      <c r="I31">
        <v>201070.43698208209</v>
      </c>
      <c r="J31">
        <v>6323696.1685660854</v>
      </c>
      <c r="K31" s="68">
        <v>6730610.2623713342</v>
      </c>
    </row>
    <row r="32" spans="1:11" x14ac:dyDescent="0.35">
      <c r="A32">
        <v>32</v>
      </c>
      <c r="B32">
        <v>-20829.014667742013</v>
      </c>
      <c r="C32">
        <v>-21504.802372317572</v>
      </c>
      <c r="D32">
        <v>-19334.852858740058</v>
      </c>
      <c r="E32">
        <v>-22837.714421206776</v>
      </c>
      <c r="F32">
        <v>-22919.861202534768</v>
      </c>
      <c r="G32">
        <v>-22756.666762442426</v>
      </c>
      <c r="H32">
        <v>5859.4688811673295</v>
      </c>
      <c r="I32">
        <v>201573.54679411268</v>
      </c>
      <c r="J32">
        <v>6324214.525467068</v>
      </c>
      <c r="K32" s="68">
        <v>6742700.1427810155</v>
      </c>
    </row>
    <row r="33" spans="1:11" x14ac:dyDescent="0.35">
      <c r="A33">
        <v>33</v>
      </c>
      <c r="B33">
        <v>-19176.235103428269</v>
      </c>
      <c r="C33">
        <v>-21147.436701857005</v>
      </c>
      <c r="D33">
        <v>-19117.591911244799</v>
      </c>
      <c r="E33">
        <v>-22125.999069486516</v>
      </c>
      <c r="F33">
        <v>-22806.354866974572</v>
      </c>
      <c r="G33">
        <v>-22303.363086127116</v>
      </c>
      <c r="H33">
        <v>5911.6215558301892</v>
      </c>
      <c r="I33">
        <v>204415.74638424336</v>
      </c>
      <c r="J33">
        <v>6338944.003100222</v>
      </c>
      <c r="K33" s="68">
        <v>6745844.5874451967</v>
      </c>
    </row>
    <row r="34" spans="1:11" x14ac:dyDescent="0.35">
      <c r="A34">
        <v>34</v>
      </c>
      <c r="B34">
        <v>-19070.153869534341</v>
      </c>
      <c r="C34">
        <v>-21080.115645609079</v>
      </c>
      <c r="D34">
        <v>-19077.252455803879</v>
      </c>
      <c r="E34">
        <v>-21959.425128913907</v>
      </c>
      <c r="F34">
        <v>-22586.190843843131</v>
      </c>
      <c r="G34">
        <v>-22094.599891894435</v>
      </c>
      <c r="H34">
        <v>6132.2811199852013</v>
      </c>
      <c r="I34">
        <v>208234.31779579783</v>
      </c>
      <c r="J34">
        <v>6346909.1163402209</v>
      </c>
      <c r="K34" s="68">
        <v>6759878.5685166186</v>
      </c>
    </row>
    <row r="35" spans="1:11" x14ac:dyDescent="0.35">
      <c r="A35">
        <v>35</v>
      </c>
      <c r="B35">
        <v>-18042.604344332234</v>
      </c>
      <c r="C35">
        <v>-20565.586559422034</v>
      </c>
      <c r="D35">
        <v>-19067.146373164367</v>
      </c>
      <c r="E35">
        <v>-21753.656258190858</v>
      </c>
      <c r="F35">
        <v>-21744.501412210564</v>
      </c>
      <c r="G35">
        <v>-21385.89144560117</v>
      </c>
      <c r="H35">
        <v>6450.2367124096263</v>
      </c>
      <c r="I35">
        <v>208500.70411053154</v>
      </c>
      <c r="J35">
        <v>6362292.1639839131</v>
      </c>
      <c r="K35" s="68">
        <v>6776763.2570907138</v>
      </c>
    </row>
    <row r="36" spans="1:11" x14ac:dyDescent="0.35">
      <c r="A36">
        <v>36</v>
      </c>
      <c r="B36">
        <v>-17976.638154393513</v>
      </c>
      <c r="C36">
        <v>-20266.606276058785</v>
      </c>
      <c r="D36">
        <v>-18853.109486301957</v>
      </c>
      <c r="E36">
        <v>-21279.027273247535</v>
      </c>
      <c r="F36">
        <v>-21651.387776960266</v>
      </c>
      <c r="G36">
        <v>-20759.644566336756</v>
      </c>
      <c r="H36">
        <v>6743.2185485109403</v>
      </c>
      <c r="I36">
        <v>209450.64040223917</v>
      </c>
      <c r="J36">
        <v>6368420.8572178148</v>
      </c>
      <c r="K36" s="68">
        <v>6780200.3882097704</v>
      </c>
    </row>
    <row r="37" spans="1:11" x14ac:dyDescent="0.35">
      <c r="A37">
        <v>37</v>
      </c>
      <c r="B37">
        <v>-17234.778028095992</v>
      </c>
      <c r="C37">
        <v>-19781.331629095996</v>
      </c>
      <c r="D37">
        <v>-18464.877744802259</v>
      </c>
      <c r="E37">
        <v>-21008.208190973288</v>
      </c>
      <c r="F37">
        <v>-21556.929790087095</v>
      </c>
      <c r="G37">
        <v>-20584.275702496881</v>
      </c>
      <c r="H37">
        <v>7040.0712391573506</v>
      </c>
      <c r="I37">
        <v>210263.11319916352</v>
      </c>
      <c r="J37">
        <v>6371931.3976613022</v>
      </c>
      <c r="K37" s="68">
        <v>6790209.9918353949</v>
      </c>
    </row>
    <row r="38" spans="1:11" x14ac:dyDescent="0.35">
      <c r="A38">
        <v>38</v>
      </c>
      <c r="B38">
        <v>-17146.882346171129</v>
      </c>
      <c r="C38">
        <v>-19174.341930926719</v>
      </c>
      <c r="D38">
        <v>-18400.357483325428</v>
      </c>
      <c r="E38">
        <v>-20854.60503106155</v>
      </c>
      <c r="F38">
        <v>-21368.00723981014</v>
      </c>
      <c r="G38">
        <v>-20569.054129514381</v>
      </c>
      <c r="H38">
        <v>7494.1900535743862</v>
      </c>
      <c r="I38">
        <v>211903.096466824</v>
      </c>
      <c r="J38">
        <v>6376614.058644129</v>
      </c>
      <c r="K38" s="68">
        <v>6790598.6542558493</v>
      </c>
    </row>
    <row r="39" spans="1:11" x14ac:dyDescent="0.35">
      <c r="A39">
        <v>39</v>
      </c>
      <c r="B39">
        <v>-16350.119527468021</v>
      </c>
      <c r="C39">
        <v>-19137.402440139038</v>
      </c>
      <c r="D39">
        <v>-18273.358213458763</v>
      </c>
      <c r="E39">
        <v>-20635.331591366354</v>
      </c>
      <c r="F39">
        <v>-21126.068673688456</v>
      </c>
      <c r="G39">
        <v>-19900.233995643328</v>
      </c>
      <c r="H39">
        <v>7562.1883683873439</v>
      </c>
      <c r="I39">
        <v>212195.09022500721</v>
      </c>
      <c r="J39">
        <v>6381115.574499689</v>
      </c>
      <c r="K39" s="68">
        <v>6797885.9206204107</v>
      </c>
    </row>
    <row r="40" spans="1:11" x14ac:dyDescent="0.35">
      <c r="A40">
        <v>40</v>
      </c>
      <c r="B40">
        <v>-14855.679344687076</v>
      </c>
      <c r="C40">
        <v>-18840.681389692843</v>
      </c>
      <c r="D40">
        <v>-18174.446812135415</v>
      </c>
      <c r="E40">
        <v>-20283.358679001263</v>
      </c>
      <c r="F40">
        <v>-20932.964077361168</v>
      </c>
      <c r="G40">
        <v>-19793.503179129973</v>
      </c>
      <c r="H40">
        <v>8297.0170950514512</v>
      </c>
      <c r="I40">
        <v>212225.38961080127</v>
      </c>
      <c r="J40">
        <v>6386790.9900292642</v>
      </c>
      <c r="K40" s="68">
        <v>6805016.8130786195</v>
      </c>
    </row>
    <row r="41" spans="1:11" x14ac:dyDescent="0.35">
      <c r="A41">
        <v>41</v>
      </c>
      <c r="B41">
        <v>-14620.032464776665</v>
      </c>
      <c r="C41">
        <v>-18403.161234163905</v>
      </c>
      <c r="D41">
        <v>-18075.774723322174</v>
      </c>
      <c r="E41">
        <v>-20192.171295204931</v>
      </c>
      <c r="F41">
        <v>-20928.309326514234</v>
      </c>
      <c r="G41">
        <v>-19025.394215778033</v>
      </c>
      <c r="H41">
        <v>8372.8877681746362</v>
      </c>
      <c r="I41">
        <v>213457.19269713177</v>
      </c>
      <c r="J41">
        <v>6400568.4031071309</v>
      </c>
      <c r="K41" s="68">
        <v>6805614.2143744454</v>
      </c>
    </row>
    <row r="42" spans="1:11" x14ac:dyDescent="0.35">
      <c r="A42">
        <v>42</v>
      </c>
      <c r="B42">
        <v>-13620.327352117598</v>
      </c>
      <c r="C42">
        <v>-17773.928435802671</v>
      </c>
      <c r="D42">
        <v>-17956.85389497564</v>
      </c>
      <c r="E42">
        <v>-20172.589366665954</v>
      </c>
      <c r="F42">
        <v>-20803.882416037744</v>
      </c>
      <c r="G42">
        <v>-18867.670302463172</v>
      </c>
      <c r="H42">
        <v>8441.8661247437922</v>
      </c>
      <c r="I42">
        <v>213709.41247969712</v>
      </c>
      <c r="J42">
        <v>6402314.5698122326</v>
      </c>
      <c r="K42" s="68">
        <v>6807797.2796704164</v>
      </c>
    </row>
    <row r="43" spans="1:11" x14ac:dyDescent="0.35">
      <c r="A43">
        <v>43</v>
      </c>
      <c r="B43">
        <v>-12764.913033227387</v>
      </c>
      <c r="C43">
        <v>-17039.464673232502</v>
      </c>
      <c r="D43">
        <v>-17814.515549906024</v>
      </c>
      <c r="E43">
        <v>-20101.263593895132</v>
      </c>
      <c r="F43">
        <v>-20379.921019092664</v>
      </c>
      <c r="G43">
        <v>-18303.534452920969</v>
      </c>
      <c r="H43">
        <v>8501.5849111251282</v>
      </c>
      <c r="I43">
        <v>214075.61902472569</v>
      </c>
      <c r="J43">
        <v>6406588.7432739856</v>
      </c>
      <c r="K43" s="68">
        <v>6824214.2099344879</v>
      </c>
    </row>
    <row r="44" spans="1:11" x14ac:dyDescent="0.35">
      <c r="A44">
        <v>44</v>
      </c>
      <c r="B44">
        <v>-12605.658252029109</v>
      </c>
      <c r="C44">
        <v>-17032.489896513744</v>
      </c>
      <c r="D44">
        <v>-17683.774429184472</v>
      </c>
      <c r="E44">
        <v>-19924.948349329065</v>
      </c>
      <c r="F44">
        <v>-20362.848850201895</v>
      </c>
      <c r="G44">
        <v>-18066.761452314553</v>
      </c>
      <c r="H44">
        <v>8899.4848933246631</v>
      </c>
      <c r="I44">
        <v>214303.79748063974</v>
      </c>
      <c r="J44">
        <v>6407700.3242640235</v>
      </c>
      <c r="K44" s="68">
        <v>6825595.7695217254</v>
      </c>
    </row>
    <row r="45" spans="1:11" x14ac:dyDescent="0.35">
      <c r="A45">
        <v>45</v>
      </c>
      <c r="B45">
        <v>-12575.967178467976</v>
      </c>
      <c r="C45">
        <v>-16590.449481362357</v>
      </c>
      <c r="D45">
        <v>-17438.819938187276</v>
      </c>
      <c r="E45">
        <v>-19763.36564910756</v>
      </c>
      <c r="F45">
        <v>-20325.743823687815</v>
      </c>
      <c r="G45">
        <v>-17725.916694652173</v>
      </c>
      <c r="H45">
        <v>9729.2313650747365</v>
      </c>
      <c r="I45">
        <v>215106.56629106795</v>
      </c>
      <c r="J45">
        <v>6409391.6508365031</v>
      </c>
      <c r="K45" s="68">
        <v>6834845.3345276406</v>
      </c>
    </row>
    <row r="46" spans="1:11" x14ac:dyDescent="0.35">
      <c r="A46">
        <v>46</v>
      </c>
      <c r="B46">
        <v>-12524.93128444698</v>
      </c>
      <c r="C46">
        <v>-16555.042430970352</v>
      </c>
      <c r="D46">
        <v>-17313.816753261184</v>
      </c>
      <c r="E46">
        <v>-19648.177531594858</v>
      </c>
      <c r="F46">
        <v>-20295.627455246537</v>
      </c>
      <c r="G46">
        <v>-17707.899791376265</v>
      </c>
      <c r="H46">
        <v>9877.5010375867259</v>
      </c>
      <c r="I46">
        <v>216254.06486251741</v>
      </c>
      <c r="J46">
        <v>6411255.417717685</v>
      </c>
      <c r="K46" s="68">
        <v>6838889.2814005893</v>
      </c>
    </row>
    <row r="47" spans="1:11" x14ac:dyDescent="0.35">
      <c r="A47">
        <v>47</v>
      </c>
      <c r="B47">
        <v>-12484.657795884106</v>
      </c>
      <c r="C47">
        <v>-16217.103314429438</v>
      </c>
      <c r="D47">
        <v>-17308.122202058479</v>
      </c>
      <c r="E47">
        <v>-19134.191182025501</v>
      </c>
      <c r="F47">
        <v>-20073.240565126798</v>
      </c>
      <c r="G47">
        <v>-17217.263011214953</v>
      </c>
      <c r="H47">
        <v>10631.430919671577</v>
      </c>
      <c r="I47">
        <v>216739.23908082937</v>
      </c>
      <c r="J47">
        <v>6412346.8069517743</v>
      </c>
      <c r="K47" s="68">
        <v>6845924.8043732615</v>
      </c>
    </row>
    <row r="48" spans="1:11" x14ac:dyDescent="0.35">
      <c r="A48">
        <v>48</v>
      </c>
      <c r="B48">
        <v>-12373.886885249629</v>
      </c>
      <c r="C48">
        <v>-16041.438184901006</v>
      </c>
      <c r="D48">
        <v>-17184.884575754957</v>
      </c>
      <c r="E48">
        <v>-19122.333478902445</v>
      </c>
      <c r="F48">
        <v>-20005.690459427617</v>
      </c>
      <c r="G48">
        <v>-17124.634403400389</v>
      </c>
      <c r="H48">
        <v>11054.190935838726</v>
      </c>
      <c r="I48">
        <v>219147.15755640564</v>
      </c>
      <c r="J48">
        <v>6413259.7487742957</v>
      </c>
      <c r="K48" s="68">
        <v>6846502.7653191937</v>
      </c>
    </row>
    <row r="49" spans="1:11" x14ac:dyDescent="0.35">
      <c r="A49">
        <v>49</v>
      </c>
      <c r="B49">
        <v>-12242.257971341605</v>
      </c>
      <c r="C49">
        <v>-15863.053722614259</v>
      </c>
      <c r="D49">
        <v>-16962.544373135719</v>
      </c>
      <c r="E49">
        <v>-18899.580099181316</v>
      </c>
      <c r="F49">
        <v>-19844.888390610151</v>
      </c>
      <c r="G49">
        <v>-16934.317909844096</v>
      </c>
      <c r="H49">
        <v>11220.419349588559</v>
      </c>
      <c r="I49">
        <v>219725.90143457762</v>
      </c>
      <c r="J49">
        <v>6413881.525455134</v>
      </c>
      <c r="K49" s="68">
        <v>6846879.7357089082</v>
      </c>
    </row>
    <row r="50" spans="1:11" x14ac:dyDescent="0.35">
      <c r="A50">
        <v>50</v>
      </c>
      <c r="B50">
        <v>-12198.884343043885</v>
      </c>
      <c r="C50">
        <v>-15786.081895441652</v>
      </c>
      <c r="D50">
        <v>-16958.606368797249</v>
      </c>
      <c r="E50">
        <v>-18695.496715209541</v>
      </c>
      <c r="F50">
        <v>-19171.579843398184</v>
      </c>
      <c r="G50">
        <v>-16789.220517704871</v>
      </c>
      <c r="H50">
        <v>11366.471261408047</v>
      </c>
      <c r="I50">
        <v>221195.96262409122</v>
      </c>
      <c r="J50">
        <v>6417094.3406100795</v>
      </c>
      <c r="K50" s="68">
        <v>6848714.9747863561</v>
      </c>
    </row>
    <row r="51" spans="1:11" x14ac:dyDescent="0.35">
      <c r="A51">
        <v>51</v>
      </c>
      <c r="B51">
        <v>-11634.436628432089</v>
      </c>
      <c r="C51">
        <v>-15550.85881770738</v>
      </c>
      <c r="D51">
        <v>-16802.189232647332</v>
      </c>
      <c r="E51">
        <v>-18564.024077710917</v>
      </c>
      <c r="F51">
        <v>-19121.919992224655</v>
      </c>
      <c r="G51">
        <v>-16542.552999392417</v>
      </c>
      <c r="H51">
        <v>11415.015863775488</v>
      </c>
      <c r="I51">
        <v>221396.59996215848</v>
      </c>
      <c r="J51">
        <v>6440174.8191511175</v>
      </c>
      <c r="K51" s="68">
        <v>6853275.2937556151</v>
      </c>
    </row>
    <row r="52" spans="1:11" x14ac:dyDescent="0.35">
      <c r="A52">
        <v>52</v>
      </c>
      <c r="B52">
        <v>-10101.635280099174</v>
      </c>
      <c r="C52">
        <v>-15373.702015086368</v>
      </c>
      <c r="D52">
        <v>-16783.856700112116</v>
      </c>
      <c r="E52">
        <v>-18407.051440342435</v>
      </c>
      <c r="F52">
        <v>-19082.461858614617</v>
      </c>
      <c r="G52">
        <v>-16423.325580785957</v>
      </c>
      <c r="H52">
        <v>11616.675486196886</v>
      </c>
      <c r="I52">
        <v>221400.80070326326</v>
      </c>
      <c r="J52">
        <v>6442796.6727205785</v>
      </c>
      <c r="K52" s="68">
        <v>6869367.2408460621</v>
      </c>
    </row>
    <row r="53" spans="1:11" x14ac:dyDescent="0.35">
      <c r="A53">
        <v>53</v>
      </c>
      <c r="B53">
        <v>-9772.1801940020741</v>
      </c>
      <c r="C53">
        <v>-15254.139560258591</v>
      </c>
      <c r="D53">
        <v>-16779.54982228954</v>
      </c>
      <c r="E53">
        <v>-18329.238051009615</v>
      </c>
      <c r="F53">
        <v>-17969.61773328394</v>
      </c>
      <c r="G53">
        <v>-16264.172558680106</v>
      </c>
      <c r="H53">
        <v>11880.982821487909</v>
      </c>
      <c r="I53">
        <v>222907.46875706341</v>
      </c>
      <c r="J53">
        <v>6452689.6837887689</v>
      </c>
      <c r="K53" s="68">
        <v>6871878.3718308248</v>
      </c>
    </row>
    <row r="54" spans="1:11" x14ac:dyDescent="0.35">
      <c r="A54">
        <v>54</v>
      </c>
      <c r="B54">
        <v>-9429.5471479241933</v>
      </c>
      <c r="C54">
        <v>-15116.150894739289</v>
      </c>
      <c r="D54">
        <v>-16751.389648745193</v>
      </c>
      <c r="E54">
        <v>-18078.746504858424</v>
      </c>
      <c r="F54">
        <v>-17909.91891209337</v>
      </c>
      <c r="G54">
        <v>-16252.81214806163</v>
      </c>
      <c r="H54">
        <v>12017.302790138221</v>
      </c>
      <c r="I54">
        <v>224702.31309603181</v>
      </c>
      <c r="J54">
        <v>6457801.75940606</v>
      </c>
      <c r="K54" s="68">
        <v>6873821.8421921954</v>
      </c>
    </row>
    <row r="55" spans="1:11" x14ac:dyDescent="0.35">
      <c r="A55">
        <v>55</v>
      </c>
      <c r="B55">
        <v>-8699.7244169589139</v>
      </c>
      <c r="C55">
        <v>-14601.945201530123</v>
      </c>
      <c r="D55">
        <v>-16637.069403141031</v>
      </c>
      <c r="E55">
        <v>-17700.946128484298</v>
      </c>
      <c r="F55">
        <v>-17666.718941200306</v>
      </c>
      <c r="G55">
        <v>-16159.948140227218</v>
      </c>
      <c r="H55">
        <v>12172.202771227847</v>
      </c>
      <c r="I55">
        <v>225067.23713460081</v>
      </c>
      <c r="J55">
        <v>6463492.0781670166</v>
      </c>
      <c r="K55" s="68">
        <v>6878793.2490507122</v>
      </c>
    </row>
    <row r="56" spans="1:11" x14ac:dyDescent="0.35">
      <c r="A56">
        <v>56</v>
      </c>
      <c r="B56">
        <v>-8552.9699428340973</v>
      </c>
      <c r="C56">
        <v>-14360.588110933215</v>
      </c>
      <c r="D56">
        <v>-16630.567874751734</v>
      </c>
      <c r="E56">
        <v>-17513.870457007673</v>
      </c>
      <c r="F56">
        <v>-17629.569356625885</v>
      </c>
      <c r="G56">
        <v>-15857.281290444284</v>
      </c>
      <c r="H56">
        <v>12703.967140476776</v>
      </c>
      <c r="I56">
        <v>225604.29012551665</v>
      </c>
      <c r="J56">
        <v>6479012.100715654</v>
      </c>
      <c r="K56" s="68">
        <v>6888468.3279260108</v>
      </c>
    </row>
    <row r="57" spans="1:11" x14ac:dyDescent="0.35">
      <c r="A57">
        <v>57</v>
      </c>
      <c r="B57">
        <v>-8483.6164232741266</v>
      </c>
      <c r="C57">
        <v>-14348.494467473005</v>
      </c>
      <c r="D57">
        <v>-16626.485750381471</v>
      </c>
      <c r="E57">
        <v>-17278.802702898927</v>
      </c>
      <c r="F57">
        <v>-17581.801622755411</v>
      </c>
      <c r="G57">
        <v>-15839.280005814513</v>
      </c>
      <c r="H57">
        <v>13238.957194511338</v>
      </c>
      <c r="I57">
        <v>225724.21036916057</v>
      </c>
      <c r="J57">
        <v>6483293.3924930776</v>
      </c>
      <c r="K57" s="68">
        <v>6889068.484741562</v>
      </c>
    </row>
    <row r="58" spans="1:11" x14ac:dyDescent="0.35">
      <c r="A58">
        <v>58</v>
      </c>
      <c r="B58">
        <v>-8448.5511568274578</v>
      </c>
      <c r="C58">
        <v>-14255.931290256593</v>
      </c>
      <c r="D58">
        <v>-16484.968236823861</v>
      </c>
      <c r="E58">
        <v>-17129.383364586756</v>
      </c>
      <c r="F58">
        <v>-17572.370169322312</v>
      </c>
      <c r="G58">
        <v>-15711.497701910388</v>
      </c>
      <c r="H58">
        <v>13312.953573073686</v>
      </c>
      <c r="I58">
        <v>226093.08824564161</v>
      </c>
      <c r="J58">
        <v>6487264.9062230904</v>
      </c>
      <c r="K58" s="68">
        <v>6891596.8165553873</v>
      </c>
    </row>
    <row r="59" spans="1:11" x14ac:dyDescent="0.35">
      <c r="A59">
        <v>59</v>
      </c>
      <c r="B59">
        <v>-8415.0441002329189</v>
      </c>
      <c r="C59">
        <v>-14197.362303202419</v>
      </c>
      <c r="D59">
        <v>-16417.63597994563</v>
      </c>
      <c r="E59">
        <v>-17038.96999787071</v>
      </c>
      <c r="F59">
        <v>-17541.451463616584</v>
      </c>
      <c r="G59">
        <v>-15396.418172471651</v>
      </c>
      <c r="H59">
        <v>13674.779804487269</v>
      </c>
      <c r="I59">
        <v>226340.18130070585</v>
      </c>
      <c r="J59">
        <v>6490302.1254128702</v>
      </c>
      <c r="K59" s="68">
        <v>6897465.2542250622</v>
      </c>
    </row>
    <row r="60" spans="1:11" x14ac:dyDescent="0.35">
      <c r="A60">
        <v>60</v>
      </c>
      <c r="B60">
        <v>-8400.4233307958275</v>
      </c>
      <c r="C60">
        <v>-14164.671596079565</v>
      </c>
      <c r="D60">
        <v>-16326.144848739043</v>
      </c>
      <c r="E60">
        <v>-16933.220193755722</v>
      </c>
      <c r="F60">
        <v>-16909.175643806251</v>
      </c>
      <c r="G60">
        <v>-15255.948495745763</v>
      </c>
      <c r="H60">
        <v>13683.388802816988</v>
      </c>
      <c r="I60">
        <v>227667.95434455524</v>
      </c>
      <c r="J60">
        <v>6491286.0037298156</v>
      </c>
      <c r="K60" s="68">
        <v>6899294.2473536693</v>
      </c>
    </row>
    <row r="61" spans="1:11" x14ac:dyDescent="0.35">
      <c r="A61">
        <v>61</v>
      </c>
      <c r="B61">
        <v>-8289.9926529741988</v>
      </c>
      <c r="C61">
        <v>-13773.458098268266</v>
      </c>
      <c r="D61">
        <v>-16245.282156179032</v>
      </c>
      <c r="E61">
        <v>-16855.388550956774</v>
      </c>
      <c r="F61">
        <v>-16675.644007023657</v>
      </c>
      <c r="G61">
        <v>-15138.024482065177</v>
      </c>
      <c r="H61">
        <v>13767.413012606254</v>
      </c>
      <c r="I61">
        <v>230562.47143159417</v>
      </c>
      <c r="J61">
        <v>6491683.2169971801</v>
      </c>
      <c r="K61" s="68">
        <v>6913686.6985264476</v>
      </c>
    </row>
    <row r="62" spans="1:11" x14ac:dyDescent="0.35">
      <c r="A62">
        <v>62</v>
      </c>
      <c r="B62">
        <v>-8109.5481187881305</v>
      </c>
      <c r="C62">
        <v>-13711.223223833927</v>
      </c>
      <c r="D62">
        <v>-16084.979855351976</v>
      </c>
      <c r="E62">
        <v>-16813.596200415599</v>
      </c>
      <c r="F62">
        <v>-16673.168810128478</v>
      </c>
      <c r="G62">
        <v>-15112.139300698385</v>
      </c>
      <c r="H62">
        <v>13948.456771962243</v>
      </c>
      <c r="I62">
        <v>231036.08463782826</v>
      </c>
      <c r="J62">
        <v>6492903.2698016874</v>
      </c>
      <c r="K62" s="68">
        <v>6919113.886447343</v>
      </c>
    </row>
    <row r="63" spans="1:11" x14ac:dyDescent="0.35">
      <c r="A63">
        <v>63</v>
      </c>
      <c r="B63">
        <v>-8032.5835685246493</v>
      </c>
      <c r="C63">
        <v>-13524.469130251618</v>
      </c>
      <c r="D63">
        <v>-15684.923050569771</v>
      </c>
      <c r="E63">
        <v>-16523.043944567748</v>
      </c>
      <c r="F63">
        <v>-16601.276390619932</v>
      </c>
      <c r="G63">
        <v>-15096.578309232997</v>
      </c>
      <c r="H63">
        <v>13993.616026612599</v>
      </c>
      <c r="I63">
        <v>231813.63791617771</v>
      </c>
      <c r="J63">
        <v>6496859.7667541318</v>
      </c>
      <c r="K63" s="68">
        <v>6921435.1324509997</v>
      </c>
    </row>
    <row r="64" spans="1:11" x14ac:dyDescent="0.35">
      <c r="A64">
        <v>64</v>
      </c>
      <c r="B64">
        <v>-8030.2470488606577</v>
      </c>
      <c r="C64">
        <v>-13476.520767950164</v>
      </c>
      <c r="D64">
        <v>-15519.301426862863</v>
      </c>
      <c r="E64">
        <v>-16342.505084471431</v>
      </c>
      <c r="F64">
        <v>-16451.85641513229</v>
      </c>
      <c r="G64">
        <v>-14940.066431508692</v>
      </c>
      <c r="H64">
        <v>14170.190242871631</v>
      </c>
      <c r="I64">
        <v>232398.58427306815</v>
      </c>
      <c r="J64">
        <v>6501011.5069554998</v>
      </c>
      <c r="K64" s="68">
        <v>6926592.6740672253</v>
      </c>
    </row>
    <row r="65" spans="1:11" x14ac:dyDescent="0.35">
      <c r="A65">
        <v>65</v>
      </c>
      <c r="B65">
        <v>-8016.3974149918067</v>
      </c>
      <c r="C65">
        <v>-13453.579087445554</v>
      </c>
      <c r="D65">
        <v>-15471.179882718621</v>
      </c>
      <c r="E65">
        <v>-16251.662195201039</v>
      </c>
      <c r="F65">
        <v>-16384.738735705629</v>
      </c>
      <c r="G65">
        <v>-14885.578679220234</v>
      </c>
      <c r="H65">
        <v>14871.550321100078</v>
      </c>
      <c r="I65">
        <v>233158.43993237673</v>
      </c>
      <c r="J65">
        <v>6501114.1802334245</v>
      </c>
      <c r="K65" s="68">
        <v>6928623.8911006236</v>
      </c>
    </row>
    <row r="66" spans="1:11" x14ac:dyDescent="0.35">
      <c r="A66">
        <v>66</v>
      </c>
      <c r="B66">
        <v>-7998.8607723338437</v>
      </c>
      <c r="C66">
        <v>-13426.617992758291</v>
      </c>
      <c r="D66">
        <v>-15383.711243565403</v>
      </c>
      <c r="E66">
        <v>-15825.640962080655</v>
      </c>
      <c r="F66">
        <v>-15891.675143332861</v>
      </c>
      <c r="G66">
        <v>-14643.518291396689</v>
      </c>
      <c r="H66">
        <v>14899.12704210978</v>
      </c>
      <c r="I66">
        <v>233529.3040859258</v>
      </c>
      <c r="J66">
        <v>6506944.6032074708</v>
      </c>
      <c r="K66" s="68">
        <v>6929532.8244246421</v>
      </c>
    </row>
    <row r="67" spans="1:11" x14ac:dyDescent="0.35">
      <c r="A67">
        <v>67</v>
      </c>
      <c r="B67">
        <v>-7998.5294164790785</v>
      </c>
      <c r="C67">
        <v>-13389.385784923303</v>
      </c>
      <c r="D67">
        <v>-15377.686788236884</v>
      </c>
      <c r="E67">
        <v>-15592.823785845423</v>
      </c>
      <c r="F67">
        <v>-15849.931171097254</v>
      </c>
      <c r="G67">
        <v>-14619.20106858384</v>
      </c>
      <c r="H67">
        <v>15105.047558821883</v>
      </c>
      <c r="I67">
        <v>234065.20961580245</v>
      </c>
      <c r="J67">
        <v>6507629.7498581382</v>
      </c>
      <c r="K67" s="68">
        <v>6930022.761569608</v>
      </c>
    </row>
    <row r="68" spans="1:11" x14ac:dyDescent="0.35">
      <c r="A68">
        <v>68</v>
      </c>
      <c r="B68">
        <v>-7997.2441428367192</v>
      </c>
      <c r="C68">
        <v>-13305.907073723483</v>
      </c>
      <c r="D68">
        <v>-15207.79839968415</v>
      </c>
      <c r="E68">
        <v>-15448.342813731062</v>
      </c>
      <c r="F68">
        <v>-15811.371586803567</v>
      </c>
      <c r="G68">
        <v>-14473.732025017309</v>
      </c>
      <c r="H68">
        <v>15132.44588074712</v>
      </c>
      <c r="I68">
        <v>235399.92948292464</v>
      </c>
      <c r="J68">
        <v>6510819.1459272159</v>
      </c>
      <c r="K68" s="68">
        <v>6932970.5771272974</v>
      </c>
    </row>
    <row r="69" spans="1:11" x14ac:dyDescent="0.35">
      <c r="A69">
        <v>69</v>
      </c>
      <c r="B69">
        <v>-7967.1706766982152</v>
      </c>
      <c r="C69">
        <v>-13204.218412314292</v>
      </c>
      <c r="D69">
        <v>-15181.48947654467</v>
      </c>
      <c r="E69">
        <v>-15318.629801745734</v>
      </c>
      <c r="F69">
        <v>-15536.416146260079</v>
      </c>
      <c r="G69">
        <v>-14473.257060654665</v>
      </c>
      <c r="H69">
        <v>15159.233370533828</v>
      </c>
      <c r="I69">
        <v>235448.14412552485</v>
      </c>
      <c r="J69">
        <v>6510892.3779227454</v>
      </c>
      <c r="K69" s="68">
        <v>6935707.9471556526</v>
      </c>
    </row>
    <row r="70" spans="1:11" x14ac:dyDescent="0.35">
      <c r="A70">
        <v>70</v>
      </c>
      <c r="B70">
        <v>-7949.0994259973513</v>
      </c>
      <c r="C70">
        <v>-12863.773276237429</v>
      </c>
      <c r="D70">
        <v>-15150.021547766559</v>
      </c>
      <c r="E70">
        <v>-15058.207652501847</v>
      </c>
      <c r="F70">
        <v>-15432.883626772236</v>
      </c>
      <c r="G70">
        <v>-14462.294903562693</v>
      </c>
      <c r="H70">
        <v>15176.193257185156</v>
      </c>
      <c r="I70">
        <v>237089.1466519761</v>
      </c>
      <c r="J70">
        <v>6521171.6260995399</v>
      </c>
      <c r="K70" s="68">
        <v>6945481.9776584711</v>
      </c>
    </row>
    <row r="71" spans="1:11" x14ac:dyDescent="0.35">
      <c r="A71">
        <v>71</v>
      </c>
      <c r="B71">
        <v>-7927.5112346169208</v>
      </c>
      <c r="C71">
        <v>-12587.656181826009</v>
      </c>
      <c r="D71">
        <v>-14877.66279809122</v>
      </c>
      <c r="E71">
        <v>-14595.072322947111</v>
      </c>
      <c r="F71">
        <v>-15354.745486808095</v>
      </c>
      <c r="G71">
        <v>-14249.979197295845</v>
      </c>
      <c r="H71">
        <v>15269.98349195439</v>
      </c>
      <c r="I71">
        <v>237176.3251772261</v>
      </c>
      <c r="J71">
        <v>6523044.4208001979</v>
      </c>
      <c r="K71" s="68">
        <v>6961767.8079651501</v>
      </c>
    </row>
    <row r="72" spans="1:11" x14ac:dyDescent="0.35">
      <c r="A72">
        <v>72</v>
      </c>
      <c r="B72">
        <v>-7873.4812566710216</v>
      </c>
      <c r="C72">
        <v>-12572.863681159051</v>
      </c>
      <c r="D72">
        <v>-14764.79024759383</v>
      </c>
      <c r="E72">
        <v>-14535.371912052478</v>
      </c>
      <c r="F72">
        <v>-15326.064525043137</v>
      </c>
      <c r="G72">
        <v>-14226.960653970818</v>
      </c>
      <c r="H72">
        <v>15411.900356276867</v>
      </c>
      <c r="I72">
        <v>238137.94876598599</v>
      </c>
      <c r="J72">
        <v>6526063.6983859921</v>
      </c>
      <c r="K72" s="68">
        <v>6965369.4343704516</v>
      </c>
    </row>
    <row r="73" spans="1:11" x14ac:dyDescent="0.35">
      <c r="A73">
        <v>73</v>
      </c>
      <c r="B73">
        <v>-7790.1720050220765</v>
      </c>
      <c r="C73">
        <v>-12529.914965822241</v>
      </c>
      <c r="D73">
        <v>-14720.801194227473</v>
      </c>
      <c r="E73">
        <v>-14332.0377364126</v>
      </c>
      <c r="F73">
        <v>-15282.155673261221</v>
      </c>
      <c r="G73">
        <v>-14108.277173378989</v>
      </c>
      <c r="H73">
        <v>15805.025516575468</v>
      </c>
      <c r="I73">
        <v>238264.18977374103</v>
      </c>
      <c r="J73">
        <v>6527213.5322100557</v>
      </c>
      <c r="K73" s="68">
        <v>6966316.30968484</v>
      </c>
    </row>
    <row r="74" spans="1:11" x14ac:dyDescent="0.35">
      <c r="A74">
        <v>74</v>
      </c>
      <c r="B74">
        <v>-7778.7500729695894</v>
      </c>
      <c r="C74">
        <v>-12375.896481052625</v>
      </c>
      <c r="D74">
        <v>-14543.903142546109</v>
      </c>
      <c r="E74">
        <v>-13936.907521457406</v>
      </c>
      <c r="F74">
        <v>-15060.088359308456</v>
      </c>
      <c r="G74">
        <v>-13973.000006418999</v>
      </c>
      <c r="H74">
        <v>16102.406695753125</v>
      </c>
      <c r="I74">
        <v>238264.30852708701</v>
      </c>
      <c r="J74">
        <v>6527887.4256751509</v>
      </c>
      <c r="K74" s="68">
        <v>6968434.0780721949</v>
      </c>
    </row>
    <row r="75" spans="1:11" x14ac:dyDescent="0.35">
      <c r="A75">
        <v>75</v>
      </c>
      <c r="B75">
        <v>-7769.471116708567</v>
      </c>
      <c r="C75">
        <v>-12361.642412241583</v>
      </c>
      <c r="D75">
        <v>-14490.868615525307</v>
      </c>
      <c r="E75">
        <v>-13606.535281931525</v>
      </c>
      <c r="F75">
        <v>-14987.594421283289</v>
      </c>
      <c r="G75">
        <v>-13958.630411944423</v>
      </c>
      <c r="H75">
        <v>16115.098393061162</v>
      </c>
      <c r="I75">
        <v>238291.80385274792</v>
      </c>
      <c r="J75">
        <v>6529234.9162157616</v>
      </c>
      <c r="K75" s="68">
        <v>6969901.9899245622</v>
      </c>
    </row>
    <row r="76" spans="1:11" x14ac:dyDescent="0.35">
      <c r="A76">
        <v>76</v>
      </c>
      <c r="B76">
        <v>-7725.7774292157264</v>
      </c>
      <c r="C76">
        <v>-12329.898037648018</v>
      </c>
      <c r="D76">
        <v>-14401.161896216874</v>
      </c>
      <c r="E76">
        <v>-13504.715196064924</v>
      </c>
      <c r="F76">
        <v>-14938.788980750805</v>
      </c>
      <c r="G76">
        <v>-13751.123286736582</v>
      </c>
      <c r="H76">
        <v>16130.721019751647</v>
      </c>
      <c r="I76">
        <v>238615.39689698748</v>
      </c>
      <c r="J76">
        <v>6530258.2974798512</v>
      </c>
      <c r="K76" s="68">
        <v>6972645.9381287154</v>
      </c>
    </row>
    <row r="77" spans="1:11" x14ac:dyDescent="0.35">
      <c r="A77">
        <v>77</v>
      </c>
      <c r="B77">
        <v>-7708.2515161941092</v>
      </c>
      <c r="C77">
        <v>-12307.138553267281</v>
      </c>
      <c r="D77">
        <v>-14281.242011547358</v>
      </c>
      <c r="E77">
        <v>-13448.26151400257</v>
      </c>
      <c r="F77">
        <v>-14895.583212307027</v>
      </c>
      <c r="G77">
        <v>-13729.953428261451</v>
      </c>
      <c r="H77">
        <v>16505.277217126993</v>
      </c>
      <c r="I77">
        <v>239484.34045546109</v>
      </c>
      <c r="J77">
        <v>6531340.4741724338</v>
      </c>
      <c r="K77" s="68">
        <v>6973416.7662668629</v>
      </c>
    </row>
    <row r="78" spans="1:11" x14ac:dyDescent="0.35">
      <c r="A78">
        <v>78</v>
      </c>
      <c r="B78">
        <v>-7679.988743253828</v>
      </c>
      <c r="C78">
        <v>-12236.712076227856</v>
      </c>
      <c r="D78">
        <v>-14261.242614776062</v>
      </c>
      <c r="E78">
        <v>-13413.171974241861</v>
      </c>
      <c r="F78">
        <v>-14793.163499663457</v>
      </c>
      <c r="G78">
        <v>-13548.760564377848</v>
      </c>
      <c r="H78">
        <v>16840.040364452259</v>
      </c>
      <c r="I78">
        <v>239542.81129145878</v>
      </c>
      <c r="J78">
        <v>6531777.6853490602</v>
      </c>
      <c r="K78" s="68">
        <v>6979101.147112675</v>
      </c>
    </row>
    <row r="79" spans="1:11" x14ac:dyDescent="0.35">
      <c r="A79">
        <v>79</v>
      </c>
      <c r="B79">
        <v>-7604.9675025532388</v>
      </c>
      <c r="C79">
        <v>-12169.95734925537</v>
      </c>
      <c r="D79">
        <v>-14251.236526845454</v>
      </c>
      <c r="E79">
        <v>-13403.40818112445</v>
      </c>
      <c r="F79">
        <v>-14703.822791069118</v>
      </c>
      <c r="G79">
        <v>-13405.364521944091</v>
      </c>
      <c r="H79">
        <v>16934.113787745653</v>
      </c>
      <c r="I79">
        <v>239895.08343227056</v>
      </c>
      <c r="J79">
        <v>6532072.3867739365</v>
      </c>
      <c r="K79" s="68">
        <v>6980151.6572134942</v>
      </c>
    </row>
    <row r="80" spans="1:11" x14ac:dyDescent="0.35">
      <c r="A80">
        <v>80</v>
      </c>
      <c r="B80">
        <v>-7590.9342516796496</v>
      </c>
      <c r="C80">
        <v>-12142.015700572529</v>
      </c>
      <c r="D80">
        <v>-14094.011911651236</v>
      </c>
      <c r="E80">
        <v>-13312.537895624573</v>
      </c>
      <c r="F80">
        <v>-14697.782229830616</v>
      </c>
      <c r="G80">
        <v>-13369.275797808206</v>
      </c>
      <c r="H80">
        <v>17281.862103241714</v>
      </c>
      <c r="I80">
        <v>241071.34659197385</v>
      </c>
      <c r="J80">
        <v>6536447.1577340132</v>
      </c>
      <c r="K80" s="68">
        <v>6985490.6283987844</v>
      </c>
    </row>
    <row r="81" spans="1:11" x14ac:dyDescent="0.35">
      <c r="A81">
        <v>81</v>
      </c>
      <c r="B81">
        <v>-7565.5945426888775</v>
      </c>
      <c r="C81">
        <v>-12086.120815723691</v>
      </c>
      <c r="D81">
        <v>-13993.527457531816</v>
      </c>
      <c r="E81">
        <v>-13289.57596742034</v>
      </c>
      <c r="F81">
        <v>-14529.224373140398</v>
      </c>
      <c r="G81">
        <v>-13007.269706253939</v>
      </c>
      <c r="H81">
        <v>17304.307984311832</v>
      </c>
      <c r="I81">
        <v>241536.89762735349</v>
      </c>
      <c r="J81">
        <v>6537607.2147527775</v>
      </c>
      <c r="K81" s="68">
        <v>6989967.7820645841</v>
      </c>
    </row>
    <row r="82" spans="1:11" x14ac:dyDescent="0.35">
      <c r="A82">
        <v>82</v>
      </c>
      <c r="B82">
        <v>-7419.5113164180184</v>
      </c>
      <c r="C82">
        <v>-12011.548307807152</v>
      </c>
      <c r="D82">
        <v>-13740.481141544766</v>
      </c>
      <c r="E82">
        <v>-13208.232148229674</v>
      </c>
      <c r="F82">
        <v>-14525.819361004018</v>
      </c>
      <c r="G82">
        <v>-12771.601548731549</v>
      </c>
      <c r="H82">
        <v>17615.127560815279</v>
      </c>
      <c r="I82">
        <v>243900.25191792953</v>
      </c>
      <c r="J82">
        <v>6541516.8318444462</v>
      </c>
      <c r="K82" s="68">
        <v>6994051.0261183139</v>
      </c>
    </row>
    <row r="83" spans="1:11" x14ac:dyDescent="0.35">
      <c r="A83">
        <v>83</v>
      </c>
      <c r="B83">
        <v>-7407.9588343797668</v>
      </c>
      <c r="C83">
        <v>-11930.88841983493</v>
      </c>
      <c r="D83">
        <v>-13727.611792226075</v>
      </c>
      <c r="E83">
        <v>-13048.844602844614</v>
      </c>
      <c r="F83">
        <v>-14519.910627154528</v>
      </c>
      <c r="G83">
        <v>-12730.625518162171</v>
      </c>
      <c r="H83">
        <v>17665.236760462623</v>
      </c>
      <c r="I83">
        <v>244463.21403247843</v>
      </c>
      <c r="J83">
        <v>6543376.5483041275</v>
      </c>
      <c r="K83" s="68">
        <v>7003247.2237894125</v>
      </c>
    </row>
    <row r="84" spans="1:11" x14ac:dyDescent="0.35">
      <c r="A84">
        <v>84</v>
      </c>
      <c r="B84">
        <v>-7350.8297632036092</v>
      </c>
      <c r="C84">
        <v>-11910.037506689985</v>
      </c>
      <c r="D84">
        <v>-13525.917356332277</v>
      </c>
      <c r="E84">
        <v>-12927.317690595775</v>
      </c>
      <c r="F84">
        <v>-14514.717668815842</v>
      </c>
      <c r="G84">
        <v>-12569.024008564444</v>
      </c>
      <c r="H84">
        <v>17821.91618199008</v>
      </c>
      <c r="I84">
        <v>244739.38356225641</v>
      </c>
      <c r="J84">
        <v>6544081.9785475964</v>
      </c>
      <c r="K84" s="68">
        <v>7004550.4026992396</v>
      </c>
    </row>
    <row r="85" spans="1:11" x14ac:dyDescent="0.35">
      <c r="A85">
        <v>85</v>
      </c>
      <c r="B85">
        <v>-7331.4676020229599</v>
      </c>
      <c r="C85">
        <v>-11824.906637377782</v>
      </c>
      <c r="D85">
        <v>-13382.857805811169</v>
      </c>
      <c r="E85">
        <v>-12852.872422192519</v>
      </c>
      <c r="F85">
        <v>-14498.475157409743</v>
      </c>
      <c r="G85">
        <v>-12132.753961133705</v>
      </c>
      <c r="H85">
        <v>18249.718193871453</v>
      </c>
      <c r="I85">
        <v>244857.00064705929</v>
      </c>
      <c r="J85">
        <v>6544159.7991005927</v>
      </c>
      <c r="K85" s="68">
        <v>7011231.5427132268</v>
      </c>
    </row>
    <row r="86" spans="1:11" x14ac:dyDescent="0.35">
      <c r="A86">
        <v>86</v>
      </c>
      <c r="B86">
        <v>-7094.1436972676584</v>
      </c>
      <c r="C86">
        <v>-11755.901474988763</v>
      </c>
      <c r="D86">
        <v>-13326.69227583169</v>
      </c>
      <c r="E86">
        <v>-12838.827918192577</v>
      </c>
      <c r="F86">
        <v>-14466.853580117255</v>
      </c>
      <c r="G86">
        <v>-12057.517686415962</v>
      </c>
      <c r="H86">
        <v>18339.882074967958</v>
      </c>
      <c r="I86">
        <v>244879.00345420925</v>
      </c>
      <c r="J86">
        <v>6545375.5817874763</v>
      </c>
      <c r="K86" s="68">
        <v>7012051.889230188</v>
      </c>
    </row>
    <row r="87" spans="1:11" x14ac:dyDescent="0.35">
      <c r="A87">
        <v>87</v>
      </c>
      <c r="B87">
        <v>-6999.726880101869</v>
      </c>
      <c r="C87">
        <v>-11634.567439034721</v>
      </c>
      <c r="D87">
        <v>-13288.849691058133</v>
      </c>
      <c r="E87">
        <v>-12831.345076022504</v>
      </c>
      <c r="F87">
        <v>-14466.151751431498</v>
      </c>
      <c r="G87">
        <v>-12016.265628504209</v>
      </c>
      <c r="H87">
        <v>18387.829208542138</v>
      </c>
      <c r="I87">
        <v>245682.54401204461</v>
      </c>
      <c r="J87">
        <v>6547599.556705757</v>
      </c>
      <c r="K87" s="68">
        <v>7012198.507797909</v>
      </c>
    </row>
    <row r="88" spans="1:11" x14ac:dyDescent="0.35">
      <c r="A88">
        <v>88</v>
      </c>
      <c r="B88">
        <v>-6944.1543079368448</v>
      </c>
      <c r="C88">
        <v>-11527.995464475502</v>
      </c>
      <c r="D88">
        <v>-13244.262821388982</v>
      </c>
      <c r="E88">
        <v>-12766.115776458673</v>
      </c>
      <c r="F88">
        <v>-14456.936077335031</v>
      </c>
      <c r="G88">
        <v>-11990.356062325771</v>
      </c>
      <c r="H88">
        <v>18548.377318307314</v>
      </c>
      <c r="I88">
        <v>246542.00534220407</v>
      </c>
      <c r="J88">
        <v>6548916.3997535529</v>
      </c>
      <c r="K88" s="68">
        <v>7014879.5980666047</v>
      </c>
    </row>
    <row r="89" spans="1:11" x14ac:dyDescent="0.35">
      <c r="A89">
        <v>89</v>
      </c>
      <c r="B89">
        <v>-6886.5271104787043</v>
      </c>
      <c r="C89">
        <v>-11385.604798093178</v>
      </c>
      <c r="D89">
        <v>-12819.488382796311</v>
      </c>
      <c r="E89">
        <v>-12567.228899242029</v>
      </c>
      <c r="F89">
        <v>-14444.686096921179</v>
      </c>
      <c r="G89">
        <v>-11980.020634465511</v>
      </c>
      <c r="H89">
        <v>18726.423356823885</v>
      </c>
      <c r="I89">
        <v>246784.02640409145</v>
      </c>
      <c r="J89">
        <v>6549485.4126767414</v>
      </c>
      <c r="K89" s="68">
        <v>7016943.6922590658</v>
      </c>
    </row>
    <row r="90" spans="1:11" x14ac:dyDescent="0.35">
      <c r="A90">
        <v>90</v>
      </c>
      <c r="B90">
        <v>-6733.1758357080807</v>
      </c>
      <c r="C90">
        <v>-11314.016552643094</v>
      </c>
      <c r="D90">
        <v>-12797.557332185239</v>
      </c>
      <c r="E90">
        <v>-12551.427788285037</v>
      </c>
      <c r="F90">
        <v>-14426.805395431797</v>
      </c>
      <c r="G90">
        <v>-11964.446278076659</v>
      </c>
      <c r="H90">
        <v>18965.872653239087</v>
      </c>
      <c r="I90">
        <v>248380.24177121982</v>
      </c>
      <c r="J90">
        <v>6550031.5173171367</v>
      </c>
      <c r="K90" s="68">
        <v>7017573.5249883998</v>
      </c>
    </row>
    <row r="91" spans="1:11" x14ac:dyDescent="0.35">
      <c r="A91">
        <v>91</v>
      </c>
      <c r="B91">
        <v>-6729.2567936756968</v>
      </c>
      <c r="C91">
        <v>-11308.842269947265</v>
      </c>
      <c r="D91">
        <v>-12700.919464709852</v>
      </c>
      <c r="E91">
        <v>-12496.39200678877</v>
      </c>
      <c r="F91">
        <v>-14350.37040482635</v>
      </c>
      <c r="G91">
        <v>-11789.196752675169</v>
      </c>
      <c r="H91">
        <v>19057.28155432894</v>
      </c>
      <c r="I91">
        <v>248571.47606025648</v>
      </c>
      <c r="J91">
        <v>6550556.503890329</v>
      </c>
      <c r="K91" s="68">
        <v>7018546.1839557644</v>
      </c>
    </row>
    <row r="92" spans="1:11" x14ac:dyDescent="0.35">
      <c r="A92">
        <v>92</v>
      </c>
      <c r="B92">
        <v>-6706.3565662485507</v>
      </c>
      <c r="C92">
        <v>-11252.362849821162</v>
      </c>
      <c r="D92">
        <v>-12669.924795735809</v>
      </c>
      <c r="E92">
        <v>-12492.971181567491</v>
      </c>
      <c r="F92">
        <v>-14326.051195350563</v>
      </c>
      <c r="G92">
        <v>-11270.371334647201</v>
      </c>
      <c r="H92">
        <v>19464.524149197925</v>
      </c>
      <c r="I92">
        <v>248714.22791006032</v>
      </c>
      <c r="J92">
        <v>6554133.7341488646</v>
      </c>
      <c r="K92" s="68">
        <v>7021013.1908281911</v>
      </c>
    </row>
    <row r="93" spans="1:11" x14ac:dyDescent="0.35">
      <c r="A93">
        <v>93</v>
      </c>
      <c r="B93">
        <v>-6664.4292436592259</v>
      </c>
      <c r="C93">
        <v>-11026.656858629518</v>
      </c>
      <c r="D93">
        <v>-12588.582680659039</v>
      </c>
      <c r="E93">
        <v>-12490.055209561335</v>
      </c>
      <c r="F93">
        <v>-14228.223018636701</v>
      </c>
      <c r="G93">
        <v>-11225.324967558512</v>
      </c>
      <c r="H93">
        <v>20317.247206457763</v>
      </c>
      <c r="I93">
        <v>249076.12074772647</v>
      </c>
      <c r="J93">
        <v>6556574.3231435372</v>
      </c>
      <c r="K93" s="68">
        <v>7026495.7691600779</v>
      </c>
    </row>
    <row r="94" spans="1:11" x14ac:dyDescent="0.35">
      <c r="A94">
        <v>94</v>
      </c>
      <c r="B94">
        <v>-6649.0084060475137</v>
      </c>
      <c r="C94">
        <v>-10958.534683058271</v>
      </c>
      <c r="D94">
        <v>-12479.693994314781</v>
      </c>
      <c r="E94">
        <v>-12489.222708900221</v>
      </c>
      <c r="F94">
        <v>-14219.692830933865</v>
      </c>
      <c r="G94">
        <v>-10970.357960407904</v>
      </c>
      <c r="H94">
        <v>20514.656806835927</v>
      </c>
      <c r="I94">
        <v>249823.28727691015</v>
      </c>
      <c r="J94">
        <v>6556679.7996720755</v>
      </c>
      <c r="K94" s="68">
        <v>7033033.4417162137</v>
      </c>
    </row>
    <row r="95" spans="1:11" x14ac:dyDescent="0.35">
      <c r="A95">
        <v>95</v>
      </c>
      <c r="B95">
        <v>-6565.3736432364094</v>
      </c>
      <c r="C95">
        <v>-10924.374110345572</v>
      </c>
      <c r="D95">
        <v>-12424.860681108343</v>
      </c>
      <c r="E95">
        <v>-12473.052682535166</v>
      </c>
      <c r="F95">
        <v>-14146.839744261717</v>
      </c>
      <c r="G95">
        <v>-10907.285155190744</v>
      </c>
      <c r="H95">
        <v>20549.997399335956</v>
      </c>
      <c r="I95">
        <v>250218.21941232952</v>
      </c>
      <c r="J95">
        <v>6557246.8488997994</v>
      </c>
      <c r="K95" s="68">
        <v>7035491.5531372856</v>
      </c>
    </row>
    <row r="96" spans="1:11" x14ac:dyDescent="0.35">
      <c r="A96">
        <v>96</v>
      </c>
      <c r="B96">
        <v>-6322.0657629477382</v>
      </c>
      <c r="C96">
        <v>-10773.845401659515</v>
      </c>
      <c r="D96">
        <v>-12420.234130637115</v>
      </c>
      <c r="E96">
        <v>-12457.221768168372</v>
      </c>
      <c r="F96">
        <v>-14099.156111328428</v>
      </c>
      <c r="G96">
        <v>-10853.556712517093</v>
      </c>
      <c r="H96">
        <v>20820.894934756041</v>
      </c>
      <c r="I96">
        <v>250457.21550651768</v>
      </c>
      <c r="J96">
        <v>6558991.5961158173</v>
      </c>
      <c r="K96" s="68">
        <v>7040293.1479712576</v>
      </c>
    </row>
    <row r="97" spans="1:11" x14ac:dyDescent="0.35">
      <c r="A97">
        <v>97</v>
      </c>
      <c r="B97">
        <v>-6295.9579534725071</v>
      </c>
      <c r="C97">
        <v>-10711.426417023602</v>
      </c>
      <c r="D97">
        <v>-12334.205914447724</v>
      </c>
      <c r="E97">
        <v>-12374.086889500431</v>
      </c>
      <c r="F97">
        <v>-14058.769231290786</v>
      </c>
      <c r="G97">
        <v>-10772.963455160243</v>
      </c>
      <c r="H97">
        <v>20858.0792192062</v>
      </c>
      <c r="I97">
        <v>250667.31969812751</v>
      </c>
      <c r="J97">
        <v>6559608.7427554373</v>
      </c>
      <c r="K97" s="68">
        <v>7040754.8526737802</v>
      </c>
    </row>
    <row r="98" spans="1:11" x14ac:dyDescent="0.35">
      <c r="A98">
        <v>98</v>
      </c>
      <c r="B98">
        <v>-6233.6506998504028</v>
      </c>
      <c r="C98">
        <v>-10684.926282158889</v>
      </c>
      <c r="D98">
        <v>-12301.95064889362</v>
      </c>
      <c r="E98">
        <v>-12344.33376580637</v>
      </c>
      <c r="F98">
        <v>-13955.105601796855</v>
      </c>
      <c r="G98">
        <v>-10629.094225823432</v>
      </c>
      <c r="H98">
        <v>20860.43181893514</v>
      </c>
      <c r="I98">
        <v>250882.83966394953</v>
      </c>
      <c r="J98">
        <v>6561347.7931276569</v>
      </c>
      <c r="K98" s="68">
        <v>7040807.1807404328</v>
      </c>
    </row>
    <row r="99" spans="1:11" x14ac:dyDescent="0.35">
      <c r="A99">
        <v>99</v>
      </c>
      <c r="B99">
        <v>-6227.277500660749</v>
      </c>
      <c r="C99">
        <v>-10662.009267864792</v>
      </c>
      <c r="D99">
        <v>-12148.265146849752</v>
      </c>
      <c r="E99">
        <v>-12291.400428968183</v>
      </c>
      <c r="F99">
        <v>-13695.35022621524</v>
      </c>
      <c r="G99">
        <v>-10507.742211717417</v>
      </c>
      <c r="H99">
        <v>20888.528401358606</v>
      </c>
      <c r="I99">
        <v>252060.47460916438</v>
      </c>
      <c r="J99">
        <v>6562222.0426581632</v>
      </c>
      <c r="K99" s="68">
        <v>7041029.1556427404</v>
      </c>
    </row>
    <row r="100" spans="1:11" x14ac:dyDescent="0.35">
      <c r="A100">
        <v>100</v>
      </c>
      <c r="B100">
        <v>-6211.1078272124414</v>
      </c>
      <c r="C100">
        <v>-10657.517782790059</v>
      </c>
      <c r="D100">
        <v>-11957.304283863157</v>
      </c>
      <c r="E100">
        <v>-12189.953255396002</v>
      </c>
      <c r="F100">
        <v>-13675.372213970633</v>
      </c>
      <c r="G100">
        <v>-10446.354070476318</v>
      </c>
      <c r="H100">
        <v>21161.31977181002</v>
      </c>
      <c r="I100">
        <v>252147.66333262395</v>
      </c>
      <c r="J100">
        <v>6565959.0649603168</v>
      </c>
      <c r="K100" s="68">
        <v>7041899.1721383715</v>
      </c>
    </row>
    <row r="101" spans="1:11" x14ac:dyDescent="0.35">
      <c r="A101">
        <v>101</v>
      </c>
      <c r="B101">
        <v>-6200.9777542622796</v>
      </c>
      <c r="C101">
        <v>-10633.078375822928</v>
      </c>
      <c r="D101">
        <v>-11925.017299030998</v>
      </c>
      <c r="E101">
        <v>-12124.883523277198</v>
      </c>
      <c r="F101">
        <v>-13542.864476991857</v>
      </c>
      <c r="G101">
        <v>-10413.583964929612</v>
      </c>
      <c r="H101">
        <v>21290.976876417968</v>
      </c>
      <c r="I101">
        <v>253294.71842203531</v>
      </c>
      <c r="J101">
        <v>6566447.7830169145</v>
      </c>
      <c r="K101" s="68">
        <v>7045820.3145115627</v>
      </c>
    </row>
    <row r="102" spans="1:11" x14ac:dyDescent="0.35">
      <c r="A102">
        <v>102</v>
      </c>
      <c r="B102">
        <v>-6092.1541642612965</v>
      </c>
      <c r="C102">
        <v>-10540.109816252541</v>
      </c>
      <c r="D102">
        <v>-11915.740536538342</v>
      </c>
      <c r="E102">
        <v>-12085.99922772812</v>
      </c>
      <c r="F102">
        <v>-13491.494943722309</v>
      </c>
      <c r="G102">
        <v>-10152.241294265077</v>
      </c>
      <c r="H102">
        <v>21388.07259986327</v>
      </c>
      <c r="I102">
        <v>253441.54976929136</v>
      </c>
      <c r="J102">
        <v>6568367.7933596158</v>
      </c>
      <c r="K102" s="68">
        <v>7046612.3492262233</v>
      </c>
    </row>
    <row r="103" spans="1:11" x14ac:dyDescent="0.35">
      <c r="A103">
        <v>103</v>
      </c>
      <c r="B103">
        <v>-6090.7785709036098</v>
      </c>
      <c r="C103">
        <v>-10503.16991315722</v>
      </c>
      <c r="D103">
        <v>-11797.232498105921</v>
      </c>
      <c r="E103">
        <v>-11980.750688610913</v>
      </c>
      <c r="F103">
        <v>-13445.767951812539</v>
      </c>
      <c r="G103">
        <v>-9787.4596354850873</v>
      </c>
      <c r="H103">
        <v>21683.180094904859</v>
      </c>
      <c r="I103">
        <v>253979.11520686766</v>
      </c>
      <c r="J103">
        <v>6569052.0068982998</v>
      </c>
      <c r="K103" s="68">
        <v>7047798.4443305293</v>
      </c>
    </row>
    <row r="104" spans="1:11" x14ac:dyDescent="0.35">
      <c r="A104">
        <v>104</v>
      </c>
      <c r="B104">
        <v>-6031.2408790854679</v>
      </c>
      <c r="C104">
        <v>-10399.80913296998</v>
      </c>
      <c r="D104">
        <v>-11717.985927534784</v>
      </c>
      <c r="E104">
        <v>-11680.098230448955</v>
      </c>
      <c r="F104">
        <v>-13278.774265902051</v>
      </c>
      <c r="G104">
        <v>-9716.8481689277723</v>
      </c>
      <c r="H104">
        <v>21710.487812135354</v>
      </c>
      <c r="I104">
        <v>254046.35010584633</v>
      </c>
      <c r="J104">
        <v>6569120.0838930206</v>
      </c>
      <c r="K104" s="68">
        <v>7053529.1784531297</v>
      </c>
    </row>
    <row r="105" spans="1:11" x14ac:dyDescent="0.35">
      <c r="A105">
        <v>105</v>
      </c>
      <c r="B105">
        <v>-6029.8358226658311</v>
      </c>
      <c r="C105">
        <v>-10310.323451768674</v>
      </c>
      <c r="D105">
        <v>-11684.580633764695</v>
      </c>
      <c r="E105">
        <v>-11672.505315765919</v>
      </c>
      <c r="F105">
        <v>-13232.477581764808</v>
      </c>
      <c r="G105">
        <v>-9651.2258655280093</v>
      </c>
      <c r="H105">
        <v>21891.131150715293</v>
      </c>
      <c r="I105">
        <v>254085.52642978102</v>
      </c>
      <c r="J105">
        <v>6571927.8975584479</v>
      </c>
      <c r="K105" s="68">
        <v>7054267.4925579485</v>
      </c>
    </row>
    <row r="106" spans="1:11" x14ac:dyDescent="0.35">
      <c r="A106">
        <v>106</v>
      </c>
      <c r="B106">
        <v>-6014.184669861821</v>
      </c>
      <c r="C106">
        <v>-10226.748743608827</v>
      </c>
      <c r="D106">
        <v>-11678.53946868459</v>
      </c>
      <c r="E106">
        <v>-11618.071461600535</v>
      </c>
      <c r="F106">
        <v>-13183.247477739687</v>
      </c>
      <c r="G106">
        <v>-9617.3874000409487</v>
      </c>
      <c r="H106">
        <v>21903.5615257916</v>
      </c>
      <c r="I106">
        <v>254290.25630166326</v>
      </c>
      <c r="J106">
        <v>6579088.0037525967</v>
      </c>
      <c r="K106" s="68">
        <v>7056874.8521693498</v>
      </c>
    </row>
    <row r="107" spans="1:11" x14ac:dyDescent="0.35">
      <c r="A107">
        <v>107</v>
      </c>
      <c r="B107">
        <v>-5951.6935307159374</v>
      </c>
      <c r="C107">
        <v>-10111.678659814606</v>
      </c>
      <c r="D107">
        <v>-11623.701528257408</v>
      </c>
      <c r="E107">
        <v>-11590.89522586722</v>
      </c>
      <c r="F107">
        <v>-13172.389039315089</v>
      </c>
      <c r="G107">
        <v>-9541.1231372075326</v>
      </c>
      <c r="H107">
        <v>22265.08924361044</v>
      </c>
      <c r="I107">
        <v>254456.56059151335</v>
      </c>
      <c r="J107">
        <v>6583276.2914481591</v>
      </c>
      <c r="K107" s="68">
        <v>7057223.1731646685</v>
      </c>
    </row>
    <row r="108" spans="1:11" x14ac:dyDescent="0.35">
      <c r="A108">
        <v>108</v>
      </c>
      <c r="B108">
        <v>-5942.4738642540851</v>
      </c>
      <c r="C108">
        <v>-10099.451505817697</v>
      </c>
      <c r="D108">
        <v>-11581.5608662661</v>
      </c>
      <c r="E108">
        <v>-11558.644315207064</v>
      </c>
      <c r="F108">
        <v>-13019.380880205987</v>
      </c>
      <c r="G108">
        <v>-9365.6412751303906</v>
      </c>
      <c r="H108">
        <v>22372.872266241466</v>
      </c>
      <c r="I108">
        <v>254708.46404024298</v>
      </c>
      <c r="J108">
        <v>6584210.5277501708</v>
      </c>
      <c r="K108" s="68">
        <v>7059386.0185282044</v>
      </c>
    </row>
    <row r="109" spans="1:11" x14ac:dyDescent="0.35">
      <c r="A109">
        <v>109</v>
      </c>
      <c r="B109">
        <v>-5934.5436961070181</v>
      </c>
      <c r="C109">
        <v>-10074.158683162095</v>
      </c>
      <c r="D109">
        <v>-11424.030341246251</v>
      </c>
      <c r="E109">
        <v>-11499.973934511112</v>
      </c>
      <c r="F109">
        <v>-13007.836545466695</v>
      </c>
      <c r="G109">
        <v>-9189.2507192881039</v>
      </c>
      <c r="H109">
        <v>22500.372224063914</v>
      </c>
      <c r="I109">
        <v>255313.59578093156</v>
      </c>
      <c r="J109">
        <v>6591914.9968922939</v>
      </c>
      <c r="K109" s="68">
        <v>7061919.0121931285</v>
      </c>
    </row>
    <row r="110" spans="1:11" x14ac:dyDescent="0.35">
      <c r="A110">
        <v>110</v>
      </c>
      <c r="B110">
        <v>-5929.6845254538302</v>
      </c>
      <c r="C110">
        <v>-9990.6953241857773</v>
      </c>
      <c r="D110">
        <v>-11409.837722836448</v>
      </c>
      <c r="E110">
        <v>-11471.625602446606</v>
      </c>
      <c r="F110">
        <v>-12997.972390712108</v>
      </c>
      <c r="G110">
        <v>-9170.4700449582706</v>
      </c>
      <c r="H110">
        <v>22511.94686090737</v>
      </c>
      <c r="I110">
        <v>255774.03541838561</v>
      </c>
      <c r="J110">
        <v>6596528.391163066</v>
      </c>
      <c r="K110" s="68">
        <v>7064801.7174218558</v>
      </c>
    </row>
    <row r="111" spans="1:11" x14ac:dyDescent="0.35">
      <c r="A111">
        <v>111</v>
      </c>
      <c r="B111">
        <v>-5926.0203591934705</v>
      </c>
      <c r="C111">
        <v>-9946.4960101871111</v>
      </c>
      <c r="D111">
        <v>-11407.425519937407</v>
      </c>
      <c r="E111">
        <v>-11442.314371513141</v>
      </c>
      <c r="F111">
        <v>-12995.617083270363</v>
      </c>
      <c r="G111">
        <v>-9045.8427318205886</v>
      </c>
      <c r="H111">
        <v>22641.034367134776</v>
      </c>
      <c r="I111">
        <v>256668.21683859889</v>
      </c>
      <c r="J111">
        <v>6606214.0687165875</v>
      </c>
      <c r="K111" s="68">
        <v>7068457.2261767145</v>
      </c>
    </row>
    <row r="112" spans="1:11" x14ac:dyDescent="0.35">
      <c r="A112">
        <v>112</v>
      </c>
      <c r="B112">
        <v>-5914.6082038059139</v>
      </c>
      <c r="C112">
        <v>-9933.9493556701</v>
      </c>
      <c r="D112">
        <v>-11381.362957545007</v>
      </c>
      <c r="E112">
        <v>-11398.144596220463</v>
      </c>
      <c r="F112">
        <v>-12984.06317410997</v>
      </c>
      <c r="G112">
        <v>-8922.8998867542214</v>
      </c>
      <c r="H112">
        <v>22726.116603520615</v>
      </c>
      <c r="I112">
        <v>256914.0142075647</v>
      </c>
      <c r="J112">
        <v>6606879.1921995273</v>
      </c>
      <c r="K112" s="68">
        <v>7068805.5043799281</v>
      </c>
    </row>
    <row r="113" spans="1:11" x14ac:dyDescent="0.35">
      <c r="A113">
        <v>113</v>
      </c>
      <c r="B113">
        <v>-5890.240298373611</v>
      </c>
      <c r="C113">
        <v>-9894.3522411039266</v>
      </c>
      <c r="D113">
        <v>-11276.166419682673</v>
      </c>
      <c r="E113">
        <v>-11358.911351216222</v>
      </c>
      <c r="F113">
        <v>-12926.485510743132</v>
      </c>
      <c r="G113">
        <v>-8913.3736208879218</v>
      </c>
      <c r="H113">
        <v>22940.122835624778</v>
      </c>
      <c r="I113">
        <v>256924.54545655823</v>
      </c>
      <c r="J113">
        <v>6609560.2949074758</v>
      </c>
      <c r="K113" s="68">
        <v>7072071.3728544489</v>
      </c>
    </row>
    <row r="114" spans="1:11" x14ac:dyDescent="0.35">
      <c r="A114">
        <v>114</v>
      </c>
      <c r="B114">
        <v>-5871.8785312655964</v>
      </c>
      <c r="C114">
        <v>-9737.6968685513202</v>
      </c>
      <c r="D114">
        <v>-11269.314623485307</v>
      </c>
      <c r="E114">
        <v>-11257.738197835395</v>
      </c>
      <c r="F114">
        <v>-12881.07251631956</v>
      </c>
      <c r="G114">
        <v>-8900.2182406881384</v>
      </c>
      <c r="H114">
        <v>23177.270622734493</v>
      </c>
      <c r="I114">
        <v>257175.7980992407</v>
      </c>
      <c r="J114">
        <v>6610842.6300367415</v>
      </c>
      <c r="K114" s="68">
        <v>7072960.3065830767</v>
      </c>
    </row>
    <row r="115" spans="1:11" x14ac:dyDescent="0.35">
      <c r="A115">
        <v>115</v>
      </c>
      <c r="B115">
        <v>-5852.3311039056362</v>
      </c>
      <c r="C115">
        <v>-9701.8743466337473</v>
      </c>
      <c r="D115">
        <v>-11130.372832783607</v>
      </c>
      <c r="E115">
        <v>-11250.46835490884</v>
      </c>
      <c r="F115">
        <v>-12817.776875482443</v>
      </c>
      <c r="G115">
        <v>-8855.5030628879467</v>
      </c>
      <c r="H115">
        <v>23432.783274867386</v>
      </c>
      <c r="I115">
        <v>257456.8747124059</v>
      </c>
      <c r="J115">
        <v>6612850.1353977937</v>
      </c>
      <c r="K115" s="68">
        <v>7073273.990401458</v>
      </c>
    </row>
    <row r="116" spans="1:11" x14ac:dyDescent="0.35">
      <c r="A116">
        <v>116</v>
      </c>
      <c r="B116">
        <v>-5848.3248201917868</v>
      </c>
      <c r="C116">
        <v>-9637.4713257848543</v>
      </c>
      <c r="D116">
        <v>-11121.223584818799</v>
      </c>
      <c r="E116">
        <v>-11137.552761277242</v>
      </c>
      <c r="F116">
        <v>-12702.700744964475</v>
      </c>
      <c r="G116">
        <v>-8756.2744560606116</v>
      </c>
      <c r="H116">
        <v>23606.36183164152</v>
      </c>
      <c r="I116">
        <v>257488.53738693843</v>
      </c>
      <c r="J116">
        <v>6613971.5596639672</v>
      </c>
      <c r="K116" s="68">
        <v>7073920.8197782431</v>
      </c>
    </row>
    <row r="117" spans="1:11" x14ac:dyDescent="0.35">
      <c r="A117">
        <v>117</v>
      </c>
      <c r="B117">
        <v>-5838.4095368334947</v>
      </c>
      <c r="C117">
        <v>-9587.8684361064934</v>
      </c>
      <c r="D117">
        <v>-11028.88132150337</v>
      </c>
      <c r="E117">
        <v>-11128.773652000022</v>
      </c>
      <c r="F117">
        <v>-12692.270563511895</v>
      </c>
      <c r="G117">
        <v>-8748.8322454928912</v>
      </c>
      <c r="H117">
        <v>23797.227530488453</v>
      </c>
      <c r="I117">
        <v>257683.15292082439</v>
      </c>
      <c r="J117">
        <v>6614263.995513848</v>
      </c>
      <c r="K117" s="68">
        <v>7077924.7595856311</v>
      </c>
    </row>
    <row r="118" spans="1:11" x14ac:dyDescent="0.35">
      <c r="A118">
        <v>118</v>
      </c>
      <c r="B118">
        <v>-5825.7588880450157</v>
      </c>
      <c r="C118">
        <v>-9507.7273784699519</v>
      </c>
      <c r="D118">
        <v>-10989.345318334321</v>
      </c>
      <c r="E118">
        <v>-10863.281358093711</v>
      </c>
      <c r="F118">
        <v>-12513.563750306306</v>
      </c>
      <c r="G118">
        <v>-8696.7905311295926</v>
      </c>
      <c r="H118">
        <v>23822.058160301243</v>
      </c>
      <c r="I118">
        <v>257836.16332786353</v>
      </c>
      <c r="J118">
        <v>6616176.1342460876</v>
      </c>
      <c r="K118" s="68">
        <v>7079982.5280282618</v>
      </c>
    </row>
    <row r="119" spans="1:11" x14ac:dyDescent="0.35">
      <c r="A119">
        <v>119</v>
      </c>
      <c r="B119">
        <v>-5823.4271449476773</v>
      </c>
      <c r="C119">
        <v>-9438.2787024330682</v>
      </c>
      <c r="D119">
        <v>-10898.907767127019</v>
      </c>
      <c r="E119">
        <v>-10635.123503827992</v>
      </c>
      <c r="F119">
        <v>-12472.61025256812</v>
      </c>
      <c r="G119">
        <v>-8673.2666258918925</v>
      </c>
      <c r="H119">
        <v>23839.759313188242</v>
      </c>
      <c r="I119">
        <v>259117.77222428677</v>
      </c>
      <c r="J119">
        <v>6616489.4331723452</v>
      </c>
      <c r="K119" s="68">
        <v>7080893.3909553895</v>
      </c>
    </row>
    <row r="120" spans="1:11" x14ac:dyDescent="0.35">
      <c r="A120">
        <v>120</v>
      </c>
      <c r="B120">
        <v>-5803.1397457307748</v>
      </c>
      <c r="C120">
        <v>-9167.9295996026631</v>
      </c>
      <c r="D120">
        <v>-10800.459435317376</v>
      </c>
      <c r="E120">
        <v>-10623.904517110019</v>
      </c>
      <c r="F120">
        <v>-12416.931583836908</v>
      </c>
      <c r="G120">
        <v>-8616.4992477974447</v>
      </c>
      <c r="H120">
        <v>24184.647388429687</v>
      </c>
      <c r="I120">
        <v>260061.4995156521</v>
      </c>
      <c r="J120">
        <v>6624158.4236994637</v>
      </c>
      <c r="K120" s="68">
        <v>7080902.6194661232</v>
      </c>
    </row>
    <row r="121" spans="1:11" x14ac:dyDescent="0.35">
      <c r="A121">
        <v>121</v>
      </c>
      <c r="B121">
        <v>-5786.8059800286792</v>
      </c>
      <c r="C121">
        <v>-9135.5357381132781</v>
      </c>
      <c r="D121">
        <v>-10698.437993709464</v>
      </c>
      <c r="E121">
        <v>-10512.711545673168</v>
      </c>
      <c r="F121">
        <v>-12343.099323434864</v>
      </c>
      <c r="G121">
        <v>-8589.6000906588743</v>
      </c>
      <c r="H121">
        <v>24541.768465330333</v>
      </c>
      <c r="I121">
        <v>260642.20690079668</v>
      </c>
      <c r="J121">
        <v>6630120.9814381553</v>
      </c>
      <c r="K121" s="68">
        <v>7081308.3343187347</v>
      </c>
    </row>
    <row r="122" spans="1:11" x14ac:dyDescent="0.35">
      <c r="A122">
        <v>122</v>
      </c>
      <c r="B122">
        <v>-5782.2832878231829</v>
      </c>
      <c r="C122">
        <v>-9131.1378633149798</v>
      </c>
      <c r="D122">
        <v>-10667.976470105015</v>
      </c>
      <c r="E122">
        <v>-10472.447115179055</v>
      </c>
      <c r="F122">
        <v>-12320.062769203652</v>
      </c>
      <c r="G122">
        <v>-8532.7173694130488</v>
      </c>
      <c r="H122">
        <v>24634.812719666825</v>
      </c>
      <c r="I122">
        <v>261743.47130361281</v>
      </c>
      <c r="J122">
        <v>6634953.8244741568</v>
      </c>
      <c r="K122" s="68">
        <v>7081923.4668179723</v>
      </c>
    </row>
    <row r="123" spans="1:11" x14ac:dyDescent="0.35">
      <c r="A123">
        <v>123</v>
      </c>
      <c r="B123">
        <v>-5717.1690926770561</v>
      </c>
      <c r="C123">
        <v>-9097.5564358149186</v>
      </c>
      <c r="D123">
        <v>-10659.400334685808</v>
      </c>
      <c r="E123">
        <v>-10460.684107150784</v>
      </c>
      <c r="F123">
        <v>-12050.570346065628</v>
      </c>
      <c r="G123">
        <v>-8513.9455376757196</v>
      </c>
      <c r="H123">
        <v>24659.695377317341</v>
      </c>
      <c r="I123">
        <v>262295.69422193262</v>
      </c>
      <c r="J123">
        <v>6635948.3147221338</v>
      </c>
      <c r="K123" s="68">
        <v>7084767.9499725848</v>
      </c>
    </row>
    <row r="124" spans="1:11" x14ac:dyDescent="0.35">
      <c r="A124">
        <v>124</v>
      </c>
      <c r="B124">
        <v>-5716.1040954756227</v>
      </c>
      <c r="C124">
        <v>-9032.8728626692646</v>
      </c>
      <c r="D124">
        <v>-10585.600433837317</v>
      </c>
      <c r="E124">
        <v>-10447.327709995307</v>
      </c>
      <c r="F124">
        <v>-12043.935155915571</v>
      </c>
      <c r="G124">
        <v>-8486.971769626698</v>
      </c>
      <c r="H124">
        <v>24689.373727951883</v>
      </c>
      <c r="I124">
        <v>262628.0952687533</v>
      </c>
      <c r="J124">
        <v>6636265.8519546725</v>
      </c>
      <c r="K124" s="68">
        <v>7084883.8621984031</v>
      </c>
    </row>
    <row r="125" spans="1:11" x14ac:dyDescent="0.35">
      <c r="A125">
        <v>125</v>
      </c>
      <c r="B125">
        <v>-5682.544375927896</v>
      </c>
      <c r="C125">
        <v>-8982.3929052416279</v>
      </c>
      <c r="D125">
        <v>-10550.264771137676</v>
      </c>
      <c r="E125">
        <v>-10382.305081668947</v>
      </c>
      <c r="F125">
        <v>-11934.376243728475</v>
      </c>
      <c r="G125">
        <v>-8481.5264252679262</v>
      </c>
      <c r="H125">
        <v>24693.044443637526</v>
      </c>
      <c r="I125">
        <v>262718.40170185018</v>
      </c>
      <c r="J125">
        <v>6638327.8496088861</v>
      </c>
      <c r="K125" s="68">
        <v>7088296.2384431176</v>
      </c>
    </row>
    <row r="126" spans="1:11" x14ac:dyDescent="0.35">
      <c r="A126">
        <v>126</v>
      </c>
      <c r="B126">
        <v>-5674.3336523853877</v>
      </c>
      <c r="C126">
        <v>-8874.3675414134632</v>
      </c>
      <c r="D126">
        <v>-10500.035411798908</v>
      </c>
      <c r="E126">
        <v>-10369.67963027085</v>
      </c>
      <c r="F126">
        <v>-11830.949125375892</v>
      </c>
      <c r="G126">
        <v>-8352.3108448795465</v>
      </c>
      <c r="H126">
        <v>24807.285579826239</v>
      </c>
      <c r="I126">
        <v>263064.84938191867</v>
      </c>
      <c r="J126">
        <v>6638391.9544280302</v>
      </c>
      <c r="K126" s="68">
        <v>7089733.8183965208</v>
      </c>
    </row>
    <row r="127" spans="1:11" x14ac:dyDescent="0.35">
      <c r="A127">
        <v>127</v>
      </c>
      <c r="B127">
        <v>-5641.1093714869221</v>
      </c>
      <c r="C127">
        <v>-8859.7808359446608</v>
      </c>
      <c r="D127">
        <v>-10440.655310197126</v>
      </c>
      <c r="E127">
        <v>-10354.553655933822</v>
      </c>
      <c r="F127">
        <v>-11735.43236638758</v>
      </c>
      <c r="G127">
        <v>-8317.2100819343905</v>
      </c>
      <c r="H127">
        <v>24943.46712642079</v>
      </c>
      <c r="I127">
        <v>265589.76515159017</v>
      </c>
      <c r="J127">
        <v>6640451.4344504485</v>
      </c>
      <c r="K127" s="68">
        <v>7093949.3357875049</v>
      </c>
    </row>
    <row r="128" spans="1:11" x14ac:dyDescent="0.35">
      <c r="A128">
        <v>128</v>
      </c>
      <c r="B128">
        <v>-5635.5961981561659</v>
      </c>
      <c r="C128">
        <v>-8855.8994538706174</v>
      </c>
      <c r="D128">
        <v>-10439.028044445755</v>
      </c>
      <c r="E128">
        <v>-10344.365251984584</v>
      </c>
      <c r="F128">
        <v>-11662.890292580512</v>
      </c>
      <c r="G128">
        <v>-8275.0786103462779</v>
      </c>
      <c r="H128">
        <v>25100.230746955815</v>
      </c>
      <c r="I128">
        <v>266277.81709812366</v>
      </c>
      <c r="J128">
        <v>6641916.8288182048</v>
      </c>
      <c r="K128" s="68">
        <v>7095107.0617002351</v>
      </c>
    </row>
    <row r="129" spans="1:11" x14ac:dyDescent="0.35">
      <c r="A129">
        <v>129</v>
      </c>
      <c r="B129">
        <v>-5600.3895630389979</v>
      </c>
      <c r="C129">
        <v>-8821.3016980133689</v>
      </c>
      <c r="D129">
        <v>-10342.04124528801</v>
      </c>
      <c r="E129">
        <v>-10314.899883590042</v>
      </c>
      <c r="F129">
        <v>-11568.716704183607</v>
      </c>
      <c r="G129">
        <v>-8213.3009575614615</v>
      </c>
      <c r="H129">
        <v>25183.352692382872</v>
      </c>
      <c r="I129">
        <v>266614.92333824962</v>
      </c>
      <c r="J129">
        <v>6643812.2838664707</v>
      </c>
      <c r="K129" s="68">
        <v>7097064.4748581517</v>
      </c>
    </row>
    <row r="130" spans="1:11" x14ac:dyDescent="0.35">
      <c r="A130">
        <v>130</v>
      </c>
      <c r="B130">
        <v>-5578.2978263715722</v>
      </c>
      <c r="C130">
        <v>-8563.4008683935735</v>
      </c>
      <c r="D130">
        <v>-10267.041664814507</v>
      </c>
      <c r="E130">
        <v>-10297.852272664109</v>
      </c>
      <c r="F130">
        <v>-11505.287457482591</v>
      </c>
      <c r="G130">
        <v>-8160.2198965634307</v>
      </c>
      <c r="H130">
        <v>25371.514144983012</v>
      </c>
      <c r="I130">
        <v>266615.58454015816</v>
      </c>
      <c r="J130">
        <v>6644529.3512600278</v>
      </c>
      <c r="K130" s="68">
        <v>7099809.7833890878</v>
      </c>
    </row>
    <row r="131" spans="1:11" x14ac:dyDescent="0.35">
      <c r="A131">
        <v>131</v>
      </c>
      <c r="B131">
        <v>-5576.8209585759887</v>
      </c>
      <c r="C131">
        <v>-8538.3741400182116</v>
      </c>
      <c r="D131">
        <v>-10241.180475272215</v>
      </c>
      <c r="E131">
        <v>-10221.704746401818</v>
      </c>
      <c r="F131">
        <v>-11492.118167718465</v>
      </c>
      <c r="G131">
        <v>-8127.1309963378399</v>
      </c>
      <c r="H131">
        <v>25376.757598561242</v>
      </c>
      <c r="I131">
        <v>267375.04236880096</v>
      </c>
      <c r="J131">
        <v>6645161.9966236902</v>
      </c>
      <c r="K131" s="68">
        <v>7103037.355583664</v>
      </c>
    </row>
    <row r="132" spans="1:11" x14ac:dyDescent="0.35">
      <c r="A132">
        <v>132</v>
      </c>
      <c r="B132">
        <v>-5575.611487030852</v>
      </c>
      <c r="C132">
        <v>-8338.541585044537</v>
      </c>
      <c r="D132">
        <v>-10112.667615788487</v>
      </c>
      <c r="E132">
        <v>-10079.746429507812</v>
      </c>
      <c r="F132">
        <v>-11411.573319661446</v>
      </c>
      <c r="G132">
        <v>-8074.2386267870097</v>
      </c>
      <c r="H132">
        <v>25538.94078770659</v>
      </c>
      <c r="I132">
        <v>267772.72160951694</v>
      </c>
      <c r="J132">
        <v>6646237.0551328929</v>
      </c>
      <c r="K132" s="68">
        <v>7103169.3355895504</v>
      </c>
    </row>
    <row r="133" spans="1:11" x14ac:dyDescent="0.35">
      <c r="A133">
        <v>133</v>
      </c>
      <c r="B133">
        <v>-5572.8284117065632</v>
      </c>
      <c r="C133">
        <v>-8314.1046537297116</v>
      </c>
      <c r="D133">
        <v>-10109.106240644813</v>
      </c>
      <c r="E133">
        <v>-10075.745266855887</v>
      </c>
      <c r="F133">
        <v>-11203.037164074794</v>
      </c>
      <c r="G133">
        <v>-7897.9847517576363</v>
      </c>
      <c r="H133">
        <v>25710.156333967851</v>
      </c>
      <c r="I133">
        <v>268762.12953380839</v>
      </c>
      <c r="J133">
        <v>6650424.0409525456</v>
      </c>
      <c r="K133" s="68">
        <v>7103862.1232100008</v>
      </c>
    </row>
    <row r="134" spans="1:11" x14ac:dyDescent="0.35">
      <c r="A134">
        <v>134</v>
      </c>
      <c r="B134">
        <v>-5539.2857858565521</v>
      </c>
      <c r="C134">
        <v>-8195.6830864035037</v>
      </c>
      <c r="D134">
        <v>-10084.121741533503</v>
      </c>
      <c r="E134">
        <v>-10042.708215811341</v>
      </c>
      <c r="F134">
        <v>-11012.137650919976</v>
      </c>
      <c r="G134">
        <v>-7864.461453585026</v>
      </c>
      <c r="H134">
        <v>26332.966481889795</v>
      </c>
      <c r="I134">
        <v>268953.40740610758</v>
      </c>
      <c r="J134">
        <v>6652429.5209166203</v>
      </c>
      <c r="K134" s="68">
        <v>7107043.8157179942</v>
      </c>
    </row>
    <row r="135" spans="1:11" x14ac:dyDescent="0.35">
      <c r="A135">
        <v>135</v>
      </c>
      <c r="B135">
        <v>-5487.2388537645593</v>
      </c>
      <c r="C135">
        <v>-8131.1380013740409</v>
      </c>
      <c r="D135">
        <v>-10081.717655209137</v>
      </c>
      <c r="E135">
        <v>-10025.374128949466</v>
      </c>
      <c r="F135">
        <v>-10963.70185313267</v>
      </c>
      <c r="G135">
        <v>-7858.3088165568934</v>
      </c>
      <c r="H135">
        <v>26568.404539745861</v>
      </c>
      <c r="I135">
        <v>269096.99413518619</v>
      </c>
      <c r="J135">
        <v>6653359.5767142829</v>
      </c>
      <c r="K135" s="68">
        <v>7108130.2705882937</v>
      </c>
    </row>
    <row r="136" spans="1:11" x14ac:dyDescent="0.35">
      <c r="A136">
        <v>136</v>
      </c>
      <c r="B136">
        <v>-5485.4269525980044</v>
      </c>
      <c r="C136">
        <v>-8054.6077738568747</v>
      </c>
      <c r="D136">
        <v>-10070.001600782647</v>
      </c>
      <c r="E136">
        <v>-10002.180201183142</v>
      </c>
      <c r="F136">
        <v>-10939.911806402783</v>
      </c>
      <c r="G136">
        <v>-7715.4434772927989</v>
      </c>
      <c r="H136">
        <v>26658.374419516149</v>
      </c>
      <c r="I136">
        <v>269431.49085954332</v>
      </c>
      <c r="J136">
        <v>6655105.2914925665</v>
      </c>
      <c r="K136" s="68">
        <v>7108245.8339021029</v>
      </c>
    </row>
    <row r="137" spans="1:11" x14ac:dyDescent="0.35">
      <c r="A137">
        <v>137</v>
      </c>
      <c r="B137">
        <v>-5475.6740760490547</v>
      </c>
      <c r="C137">
        <v>-8049.950461530103</v>
      </c>
      <c r="D137">
        <v>-10022.060604888657</v>
      </c>
      <c r="E137">
        <v>-9985.3968780951072</v>
      </c>
      <c r="F137">
        <v>-10900.136319231133</v>
      </c>
      <c r="G137">
        <v>-7315.5818878153268</v>
      </c>
      <c r="H137">
        <v>26668.491312071743</v>
      </c>
      <c r="I137">
        <v>269748.93804330355</v>
      </c>
      <c r="J137">
        <v>6656084.4763979912</v>
      </c>
      <c r="K137" s="68">
        <v>7114065.1585882409</v>
      </c>
    </row>
    <row r="138" spans="1:11" x14ac:dyDescent="0.35">
      <c r="A138">
        <v>138</v>
      </c>
      <c r="B138">
        <v>-5451.2642367705703</v>
      </c>
      <c r="C138">
        <v>-7998.2242114380824</v>
      </c>
      <c r="D138">
        <v>-9942.809990744925</v>
      </c>
      <c r="E138">
        <v>-9966.5482185630681</v>
      </c>
      <c r="F138">
        <v>-10819.688317517584</v>
      </c>
      <c r="G138">
        <v>-7312.1406522758725</v>
      </c>
      <c r="H138">
        <v>26839.107146724356</v>
      </c>
      <c r="I138">
        <v>270041.30255538342</v>
      </c>
      <c r="J138">
        <v>6658279.5515576405</v>
      </c>
      <c r="K138" s="68">
        <v>7114500.9257931765</v>
      </c>
    </row>
    <row r="139" spans="1:11" x14ac:dyDescent="0.35">
      <c r="A139">
        <v>139</v>
      </c>
      <c r="B139">
        <v>-5450.1181429432118</v>
      </c>
      <c r="C139">
        <v>-7978.5633133277352</v>
      </c>
      <c r="D139">
        <v>-9919.8790928171748</v>
      </c>
      <c r="E139">
        <v>-9962.1296534424091</v>
      </c>
      <c r="F139">
        <v>-10791.442349197838</v>
      </c>
      <c r="G139">
        <v>-7289.8730608377446</v>
      </c>
      <c r="H139">
        <v>26939.484871859782</v>
      </c>
      <c r="I139">
        <v>270653.69460143615</v>
      </c>
      <c r="J139">
        <v>6658442.9269264042</v>
      </c>
      <c r="K139" s="68">
        <v>7114910.6202498833</v>
      </c>
    </row>
    <row r="140" spans="1:11" x14ac:dyDescent="0.35">
      <c r="A140">
        <v>140</v>
      </c>
      <c r="B140">
        <v>-5447.4507237043681</v>
      </c>
      <c r="C140">
        <v>-7947.0426076948643</v>
      </c>
      <c r="D140">
        <v>-9902.8874698244617</v>
      </c>
      <c r="E140">
        <v>-9945.6143511524351</v>
      </c>
      <c r="F140">
        <v>-10737.046175604552</v>
      </c>
      <c r="G140">
        <v>-7179.6489331618304</v>
      </c>
      <c r="H140">
        <v>27042.24309056966</v>
      </c>
      <c r="I140">
        <v>271396.26818889542</v>
      </c>
      <c r="J140">
        <v>6662972.4908985794</v>
      </c>
      <c r="K140" s="68">
        <v>7116170.2601653356</v>
      </c>
    </row>
    <row r="141" spans="1:11" x14ac:dyDescent="0.35">
      <c r="A141">
        <v>141</v>
      </c>
      <c r="B141">
        <v>-5395.7971157729062</v>
      </c>
      <c r="C141">
        <v>-7941.9998075297353</v>
      </c>
      <c r="D141">
        <v>-9755.4523460122946</v>
      </c>
      <c r="E141">
        <v>-9814.8744945293911</v>
      </c>
      <c r="F141">
        <v>-10592.932013106401</v>
      </c>
      <c r="G141">
        <v>-7156.5000430266664</v>
      </c>
      <c r="H141">
        <v>27087.519762660326</v>
      </c>
      <c r="I141">
        <v>271518.89254041575</v>
      </c>
      <c r="J141">
        <v>6663112.1866864413</v>
      </c>
      <c r="K141" s="68">
        <v>7119084.5473051146</v>
      </c>
    </row>
    <row r="142" spans="1:11" x14ac:dyDescent="0.35">
      <c r="A142">
        <v>142</v>
      </c>
      <c r="B142">
        <v>-5360.364116681103</v>
      </c>
      <c r="C142">
        <v>-7936.4561190136546</v>
      </c>
      <c r="D142">
        <v>-9666.9836363568338</v>
      </c>
      <c r="E142">
        <v>-9811.0228513418497</v>
      </c>
      <c r="F142">
        <v>-10553.723929001122</v>
      </c>
      <c r="G142">
        <v>-7126.7297837802198</v>
      </c>
      <c r="H142">
        <v>27359.000788724887</v>
      </c>
      <c r="I142">
        <v>271528.01701742009</v>
      </c>
      <c r="J142">
        <v>6663509.2443322679</v>
      </c>
      <c r="K142" s="68">
        <v>7121541.3556965198</v>
      </c>
    </row>
    <row r="143" spans="1:11" x14ac:dyDescent="0.35">
      <c r="A143">
        <v>143</v>
      </c>
      <c r="B143">
        <v>-5350.7193554427695</v>
      </c>
      <c r="C143">
        <v>-7914.5315583062966</v>
      </c>
      <c r="D143">
        <v>-9573.8480630433623</v>
      </c>
      <c r="E143">
        <v>-9795.6940486454732</v>
      </c>
      <c r="F143">
        <v>-10545.435607332864</v>
      </c>
      <c r="G143">
        <v>-7062.904943900543</v>
      </c>
      <c r="H143">
        <v>27537.781126391266</v>
      </c>
      <c r="I143">
        <v>271661.90655104426</v>
      </c>
      <c r="J143">
        <v>6666353.9801695123</v>
      </c>
      <c r="K143" s="68">
        <v>7122816.2360945381</v>
      </c>
    </row>
    <row r="144" spans="1:11" x14ac:dyDescent="0.35">
      <c r="A144">
        <v>144</v>
      </c>
      <c r="B144">
        <v>-5340.7565682571494</v>
      </c>
      <c r="C144">
        <v>-7903.9077830468977</v>
      </c>
      <c r="D144">
        <v>-9113.2632113751588</v>
      </c>
      <c r="E144">
        <v>-9725.8917696706812</v>
      </c>
      <c r="F144">
        <v>-10403.521542316448</v>
      </c>
      <c r="G144">
        <v>-7054.2956680345242</v>
      </c>
      <c r="H144">
        <v>27642.13783210592</v>
      </c>
      <c r="I144">
        <v>272063.89080508961</v>
      </c>
      <c r="J144">
        <v>6668647.3422187464</v>
      </c>
      <c r="K144" s="68">
        <v>7125607.9398184083</v>
      </c>
    </row>
    <row r="145" spans="1:11" x14ac:dyDescent="0.35">
      <c r="A145">
        <v>145</v>
      </c>
      <c r="B145">
        <v>-5328.3095411313134</v>
      </c>
      <c r="C145">
        <v>-7893.3214152615201</v>
      </c>
      <c r="D145">
        <v>-9093.5043951194966</v>
      </c>
      <c r="E145">
        <v>-9686.9712383278711</v>
      </c>
      <c r="F145">
        <v>-10140.317281560852</v>
      </c>
      <c r="G145">
        <v>-6956.7398880034416</v>
      </c>
      <c r="H145">
        <v>27997.685558997095</v>
      </c>
      <c r="I145">
        <v>273220.23177965201</v>
      </c>
      <c r="J145">
        <v>6673779.6240622355</v>
      </c>
      <c r="K145" s="68">
        <v>7126936.0270529306</v>
      </c>
    </row>
    <row r="146" spans="1:11" x14ac:dyDescent="0.35">
      <c r="A146">
        <v>146</v>
      </c>
      <c r="B146">
        <v>-5271.7256029081636</v>
      </c>
      <c r="C146">
        <v>-7856.5076242892446</v>
      </c>
      <c r="D146">
        <v>-9001.2487365590114</v>
      </c>
      <c r="E146">
        <v>-9662.6941075343093</v>
      </c>
      <c r="F146">
        <v>-10012.602030494714</v>
      </c>
      <c r="G146">
        <v>-6915.7676372658643</v>
      </c>
      <c r="H146">
        <v>28071.413022407818</v>
      </c>
      <c r="I146">
        <v>273332.61553710536</v>
      </c>
      <c r="J146">
        <v>6673936.8037478197</v>
      </c>
      <c r="K146" s="68">
        <v>7128548.7406828096</v>
      </c>
    </row>
    <row r="147" spans="1:11" x14ac:dyDescent="0.35">
      <c r="A147">
        <v>147</v>
      </c>
      <c r="B147">
        <v>-5260.183495131123</v>
      </c>
      <c r="C147">
        <v>-7800.7183944624221</v>
      </c>
      <c r="D147">
        <v>-8971.0850729713293</v>
      </c>
      <c r="E147">
        <v>-9639.1415538210658</v>
      </c>
      <c r="F147">
        <v>-9947.0824192568016</v>
      </c>
      <c r="G147">
        <v>-6893.8371956802675</v>
      </c>
      <c r="H147">
        <v>28139.058279702454</v>
      </c>
      <c r="I147">
        <v>273809.90411659714</v>
      </c>
      <c r="J147">
        <v>6678511.946533042</v>
      </c>
      <c r="K147" s="68">
        <v>7129462.3584861411</v>
      </c>
    </row>
    <row r="148" spans="1:11" x14ac:dyDescent="0.35">
      <c r="A148">
        <v>148</v>
      </c>
      <c r="B148">
        <v>-5259.4137664472883</v>
      </c>
      <c r="C148">
        <v>-7788.2548890544904</v>
      </c>
      <c r="D148">
        <v>-8952.4285274086797</v>
      </c>
      <c r="E148">
        <v>-9600.3341317604827</v>
      </c>
      <c r="F148">
        <v>-9786.5343653837608</v>
      </c>
      <c r="G148">
        <v>-6859.800324328543</v>
      </c>
      <c r="H148">
        <v>28253.562393710137</v>
      </c>
      <c r="I148">
        <v>274665.32084318978</v>
      </c>
      <c r="J148">
        <v>6678762.2411346994</v>
      </c>
      <c r="K148" s="68">
        <v>7130638.4186324328</v>
      </c>
    </row>
    <row r="149" spans="1:11" x14ac:dyDescent="0.35">
      <c r="A149">
        <v>149</v>
      </c>
      <c r="B149">
        <v>-5220.3737153409675</v>
      </c>
      <c r="C149">
        <v>-7730.3442464325071</v>
      </c>
      <c r="D149">
        <v>-8907.2044298180244</v>
      </c>
      <c r="E149">
        <v>-9539.6908885841749</v>
      </c>
      <c r="F149">
        <v>-9728.7239209369254</v>
      </c>
      <c r="G149">
        <v>-6762.4586266177375</v>
      </c>
      <c r="H149">
        <v>28297.682494811725</v>
      </c>
      <c r="I149">
        <v>274892.87105872092</v>
      </c>
      <c r="J149">
        <v>6678888.6604213594</v>
      </c>
      <c r="K149" s="68">
        <v>7132998.3027206874</v>
      </c>
    </row>
    <row r="150" spans="1:11" x14ac:dyDescent="0.35">
      <c r="A150">
        <v>150</v>
      </c>
      <c r="B150">
        <v>-5203.3726116799598</v>
      </c>
      <c r="C150">
        <v>-7727.7880010437721</v>
      </c>
      <c r="D150">
        <v>-8858.9663112897579</v>
      </c>
      <c r="E150">
        <v>-9471.0682742191457</v>
      </c>
      <c r="F150">
        <v>-9687.9966338878749</v>
      </c>
      <c r="G150">
        <v>-6753.1336178930424</v>
      </c>
      <c r="H150">
        <v>28435.421783271802</v>
      </c>
      <c r="I150">
        <v>274951.31676849053</v>
      </c>
      <c r="J150">
        <v>6680049.9388626656</v>
      </c>
      <c r="K150" s="68">
        <v>7136964.5951535162</v>
      </c>
    </row>
    <row r="151" spans="1:11" x14ac:dyDescent="0.35">
      <c r="A151">
        <v>151</v>
      </c>
      <c r="B151">
        <v>-5179.5860060532596</v>
      </c>
      <c r="C151">
        <v>-7696.5854238149313</v>
      </c>
      <c r="D151">
        <v>-8682.178557760506</v>
      </c>
      <c r="E151">
        <v>-9420.8241874805171</v>
      </c>
      <c r="F151">
        <v>-9687.1670548884249</v>
      </c>
      <c r="G151">
        <v>-6440.6091118810291</v>
      </c>
      <c r="H151">
        <v>28452.197805033047</v>
      </c>
      <c r="I151">
        <v>275374.44820539322</v>
      </c>
      <c r="J151">
        <v>6680447.4528502477</v>
      </c>
      <c r="K151" s="68">
        <v>7138799.9345501885</v>
      </c>
    </row>
    <row r="152" spans="1:11" x14ac:dyDescent="0.35">
      <c r="A152">
        <v>152</v>
      </c>
      <c r="B152">
        <v>-5168.7296659312096</v>
      </c>
      <c r="C152">
        <v>-7629.1433334466528</v>
      </c>
      <c r="D152">
        <v>-8674.5536497011599</v>
      </c>
      <c r="E152">
        <v>-9362.3091310121326</v>
      </c>
      <c r="F152">
        <v>-9526.5528892009552</v>
      </c>
      <c r="G152">
        <v>-6390.464201006891</v>
      </c>
      <c r="H152">
        <v>28508.282246193747</v>
      </c>
      <c r="I152">
        <v>275494.53532376903</v>
      </c>
      <c r="J152">
        <v>6683469.7089785011</v>
      </c>
      <c r="K152" s="68">
        <v>7146709.4553413475</v>
      </c>
    </row>
    <row r="153" spans="1:11" x14ac:dyDescent="0.35">
      <c r="A153">
        <v>153</v>
      </c>
      <c r="B153">
        <v>-5157.3005715108011</v>
      </c>
      <c r="C153">
        <v>-7600.6207077083855</v>
      </c>
      <c r="D153">
        <v>-8562.0342755249967</v>
      </c>
      <c r="E153">
        <v>-9346.3075761017899</v>
      </c>
      <c r="F153">
        <v>-9428.3043054414575</v>
      </c>
      <c r="G153">
        <v>-6387.0695818113891</v>
      </c>
      <c r="H153">
        <v>28737.089227001296</v>
      </c>
      <c r="I153">
        <v>275645.60333809897</v>
      </c>
      <c r="J153">
        <v>6685573.2220834717</v>
      </c>
      <c r="K153" s="68">
        <v>7151902.9395886464</v>
      </c>
    </row>
    <row r="154" spans="1:11" x14ac:dyDescent="0.35">
      <c r="A154">
        <v>154</v>
      </c>
      <c r="B154">
        <v>-5156.4807066056292</v>
      </c>
      <c r="C154">
        <v>-7596.3198032044884</v>
      </c>
      <c r="D154">
        <v>-8543.9508053609552</v>
      </c>
      <c r="E154">
        <v>-9343.3686018106109</v>
      </c>
      <c r="F154">
        <v>-9413.1566745619784</v>
      </c>
      <c r="G154">
        <v>-6279.4886338847391</v>
      </c>
      <c r="H154">
        <v>28934.884453778104</v>
      </c>
      <c r="I154">
        <v>276421.92140676075</v>
      </c>
      <c r="J154">
        <v>6685865.6611545496</v>
      </c>
      <c r="K154" s="68">
        <v>7152246.6078768149</v>
      </c>
    </row>
    <row r="155" spans="1:11" x14ac:dyDescent="0.35">
      <c r="A155">
        <v>155</v>
      </c>
      <c r="B155">
        <v>-5147.8859991091531</v>
      </c>
      <c r="C155">
        <v>-7579.4802218008645</v>
      </c>
      <c r="D155">
        <v>-8471.9645499435883</v>
      </c>
      <c r="E155">
        <v>-9321.8292309665048</v>
      </c>
      <c r="F155">
        <v>-9118.6818958133463</v>
      </c>
      <c r="G155">
        <v>-6204.9762318463418</v>
      </c>
      <c r="H155">
        <v>28957.809881065536</v>
      </c>
      <c r="I155">
        <v>276957.14971882239</v>
      </c>
      <c r="J155">
        <v>6688065.2481136806</v>
      </c>
      <c r="K155" s="68">
        <v>7159829.7716132011</v>
      </c>
    </row>
    <row r="156" spans="1:11" x14ac:dyDescent="0.35">
      <c r="A156">
        <v>156</v>
      </c>
      <c r="B156">
        <v>-5138.5342426535235</v>
      </c>
      <c r="C156">
        <v>-7553.9982045193274</v>
      </c>
      <c r="D156">
        <v>-8449.9317738621303</v>
      </c>
      <c r="E156">
        <v>-9310.4639459979553</v>
      </c>
      <c r="F156">
        <v>-9072.9825080894316</v>
      </c>
      <c r="G156">
        <v>-6154.4224610542051</v>
      </c>
      <c r="H156">
        <v>29027.212359455061</v>
      </c>
      <c r="I156">
        <v>277110.27040179324</v>
      </c>
      <c r="J156">
        <v>6695435.1994698001</v>
      </c>
      <c r="K156" s="68">
        <v>7161701.5055282675</v>
      </c>
    </row>
    <row r="157" spans="1:11" x14ac:dyDescent="0.35">
      <c r="A157">
        <v>157</v>
      </c>
      <c r="B157">
        <v>-5130.2397918743754</v>
      </c>
      <c r="C157">
        <v>-7491.6051085825411</v>
      </c>
      <c r="D157">
        <v>-8369.0306688568126</v>
      </c>
      <c r="E157">
        <v>-9289.8105229800622</v>
      </c>
      <c r="F157">
        <v>-9046.757137778437</v>
      </c>
      <c r="G157">
        <v>-6118.0996856973334</v>
      </c>
      <c r="H157">
        <v>29106.457805499555</v>
      </c>
      <c r="I157">
        <v>277251.67988429521</v>
      </c>
      <c r="J157">
        <v>6697220.946611492</v>
      </c>
      <c r="K157" s="68">
        <v>7162446.3526028534</v>
      </c>
    </row>
    <row r="158" spans="1:11" x14ac:dyDescent="0.35">
      <c r="A158">
        <v>158</v>
      </c>
      <c r="B158">
        <v>-5104.1238686435672</v>
      </c>
      <c r="C158">
        <v>-7447.5946021967111</v>
      </c>
      <c r="D158">
        <v>-8308.0438788982901</v>
      </c>
      <c r="E158">
        <v>-9243.1791477457664</v>
      </c>
      <c r="F158">
        <v>-8898.8693876310244</v>
      </c>
      <c r="G158">
        <v>-6114.9988005825962</v>
      </c>
      <c r="H158">
        <v>29265.524046617262</v>
      </c>
      <c r="I158">
        <v>277802.22987655166</v>
      </c>
      <c r="J158">
        <v>6698100.6536437757</v>
      </c>
      <c r="K158" s="68">
        <v>7162455.9558370989</v>
      </c>
    </row>
    <row r="159" spans="1:11" x14ac:dyDescent="0.35">
      <c r="A159">
        <v>159</v>
      </c>
      <c r="B159">
        <v>-5097.1916784641062</v>
      </c>
      <c r="C159">
        <v>-7412.0214590502064</v>
      </c>
      <c r="D159">
        <v>-8272.9470672557945</v>
      </c>
      <c r="E159">
        <v>-9206.8544920569857</v>
      </c>
      <c r="F159">
        <v>-8850.706139104137</v>
      </c>
      <c r="G159">
        <v>-5898.0438391558027</v>
      </c>
      <c r="H159">
        <v>29273.181167384806</v>
      </c>
      <c r="I159">
        <v>277998.84747527156</v>
      </c>
      <c r="J159">
        <v>6700185.9826522926</v>
      </c>
      <c r="K159" s="68">
        <v>7168296.719429275</v>
      </c>
    </row>
    <row r="160" spans="1:11" x14ac:dyDescent="0.35">
      <c r="A160">
        <v>160</v>
      </c>
      <c r="B160">
        <v>-5090.9468987937753</v>
      </c>
      <c r="C160">
        <v>-7370.8851695181165</v>
      </c>
      <c r="D160">
        <v>-8253.4341436714694</v>
      </c>
      <c r="E160">
        <v>-9199.9914621506141</v>
      </c>
      <c r="F160">
        <v>-8781.572712347046</v>
      </c>
      <c r="G160">
        <v>-5848.2836723632945</v>
      </c>
      <c r="H160">
        <v>29372.407726507583</v>
      </c>
      <c r="I160">
        <v>278183.59035388217</v>
      </c>
      <c r="J160">
        <v>6700871.8177079344</v>
      </c>
      <c r="K160" s="68">
        <v>7168623.5114649264</v>
      </c>
    </row>
    <row r="161" spans="1:11" x14ac:dyDescent="0.35">
      <c r="A161">
        <v>161</v>
      </c>
      <c r="B161">
        <v>-5060.7744087980645</v>
      </c>
      <c r="C161">
        <v>-7362.5882285158041</v>
      </c>
      <c r="D161">
        <v>-8205.5772434006467</v>
      </c>
      <c r="E161">
        <v>-9194.1896509193284</v>
      </c>
      <c r="F161">
        <v>-8705.3389447987411</v>
      </c>
      <c r="G161">
        <v>-5836.0734417161048</v>
      </c>
      <c r="H161">
        <v>29431.53761485935</v>
      </c>
      <c r="I161">
        <v>278196.17239123711</v>
      </c>
      <c r="J161">
        <v>6701112.5749758957</v>
      </c>
      <c r="K161" s="68">
        <v>7172758.8811371243</v>
      </c>
    </row>
    <row r="162" spans="1:11" x14ac:dyDescent="0.35">
      <c r="A162">
        <v>162</v>
      </c>
      <c r="B162">
        <v>-5057.8165609576627</v>
      </c>
      <c r="C162">
        <v>-7326.0905072515661</v>
      </c>
      <c r="D162">
        <v>-8172.787916441991</v>
      </c>
      <c r="E162">
        <v>-9035.258647914985</v>
      </c>
      <c r="F162">
        <v>-8512.9675509038498</v>
      </c>
      <c r="G162">
        <v>-5766.2554493365315</v>
      </c>
      <c r="H162">
        <v>29623.846755374339</v>
      </c>
      <c r="I162">
        <v>278275.48121108906</v>
      </c>
      <c r="J162">
        <v>6703101.88894796</v>
      </c>
      <c r="K162" s="68">
        <v>7176090.5747332172</v>
      </c>
    </row>
    <row r="163" spans="1:11" x14ac:dyDescent="0.35">
      <c r="A163">
        <v>163</v>
      </c>
      <c r="B163">
        <v>-5042.7973034617889</v>
      </c>
      <c r="C163">
        <v>-7264.0494557253169</v>
      </c>
      <c r="D163">
        <v>-8108.0602246704202</v>
      </c>
      <c r="E163">
        <v>-8992.9807740678261</v>
      </c>
      <c r="F163">
        <v>-8446.4029472213624</v>
      </c>
      <c r="G163">
        <v>-5760.2588471649351</v>
      </c>
      <c r="H163">
        <v>30127.554950974823</v>
      </c>
      <c r="I163">
        <v>278311.04680744099</v>
      </c>
      <c r="J163">
        <v>6703541.8592821714</v>
      </c>
      <c r="K163" s="68">
        <v>7177730.2134710373</v>
      </c>
    </row>
    <row r="164" spans="1:11" x14ac:dyDescent="0.35">
      <c r="A164">
        <v>164</v>
      </c>
      <c r="B164">
        <v>-5030.9734783627255</v>
      </c>
      <c r="C164">
        <v>-7248.6850053109438</v>
      </c>
      <c r="D164">
        <v>-7937.7888115324113</v>
      </c>
      <c r="E164">
        <v>-8933.5611571806094</v>
      </c>
      <c r="F164">
        <v>-8442.0995633312668</v>
      </c>
      <c r="G164">
        <v>-5746.9092331482407</v>
      </c>
      <c r="H164">
        <v>30174.839464867735</v>
      </c>
      <c r="I164">
        <v>278384.47983073426</v>
      </c>
      <c r="J164">
        <v>6705008.8294935031</v>
      </c>
      <c r="K164" s="68">
        <v>7177973.5478963861</v>
      </c>
    </row>
    <row r="165" spans="1:11" x14ac:dyDescent="0.35">
      <c r="A165">
        <v>165</v>
      </c>
      <c r="B165">
        <v>-5008.5412543909715</v>
      </c>
      <c r="C165">
        <v>-7244.863634830278</v>
      </c>
      <c r="D165">
        <v>-7912.9795591721122</v>
      </c>
      <c r="E165">
        <v>-8872.22453081196</v>
      </c>
      <c r="F165">
        <v>-8412.6807539457659</v>
      </c>
      <c r="G165">
        <v>-5692.0325865205687</v>
      </c>
      <c r="H165">
        <v>30192.219497553146</v>
      </c>
      <c r="I165">
        <v>278891.76565354055</v>
      </c>
      <c r="J165">
        <v>6707321.3248129189</v>
      </c>
      <c r="K165" s="68">
        <v>7178783.6408735719</v>
      </c>
    </row>
    <row r="166" spans="1:11" x14ac:dyDescent="0.35">
      <c r="A166">
        <v>166</v>
      </c>
      <c r="B166">
        <v>-5006.3097901560868</v>
      </c>
      <c r="C166">
        <v>-7168.3170568753876</v>
      </c>
      <c r="D166">
        <v>-7801.8055783331502</v>
      </c>
      <c r="E166">
        <v>-8804.557007959349</v>
      </c>
      <c r="F166">
        <v>-8358.8225671046421</v>
      </c>
      <c r="G166">
        <v>-5580.017540672492</v>
      </c>
      <c r="H166">
        <v>30319.713306277092</v>
      </c>
      <c r="I166">
        <v>279082.57219101518</v>
      </c>
      <c r="J166">
        <v>6707534.7950878246</v>
      </c>
      <c r="K166" s="68">
        <v>7179514.4339759173</v>
      </c>
    </row>
    <row r="167" spans="1:11" x14ac:dyDescent="0.35">
      <c r="A167">
        <v>167</v>
      </c>
      <c r="B167">
        <v>-4992.1287750764186</v>
      </c>
      <c r="C167">
        <v>-7141.6799850589978</v>
      </c>
      <c r="D167">
        <v>-7801.3813282877636</v>
      </c>
      <c r="E167">
        <v>-8803.8408462478237</v>
      </c>
      <c r="F167">
        <v>-8331.8846785632086</v>
      </c>
      <c r="G167">
        <v>-5545.5352896921313</v>
      </c>
      <c r="H167">
        <v>30593.099568431964</v>
      </c>
      <c r="I167">
        <v>279088.43391347991</v>
      </c>
      <c r="J167">
        <v>6708134.2390908049</v>
      </c>
      <c r="K167" s="68">
        <v>7180983.0016497709</v>
      </c>
    </row>
    <row r="168" spans="1:11" x14ac:dyDescent="0.35">
      <c r="A168">
        <v>168</v>
      </c>
      <c r="B168">
        <v>-4962.1569571881364</v>
      </c>
      <c r="C168">
        <v>-7058.4439527534978</v>
      </c>
      <c r="D168">
        <v>-7769.2475369903168</v>
      </c>
      <c r="E168">
        <v>-8745.0639923473318</v>
      </c>
      <c r="F168">
        <v>-8302.5814780700257</v>
      </c>
      <c r="G168">
        <v>-5434.2148468105142</v>
      </c>
      <c r="H168">
        <v>30643.352381642871</v>
      </c>
      <c r="I168">
        <v>279543.99506728927</v>
      </c>
      <c r="J168">
        <v>6710603.5496317362</v>
      </c>
      <c r="K168" s="68">
        <v>7181550.1868855013</v>
      </c>
    </row>
    <row r="169" spans="1:11" x14ac:dyDescent="0.35">
      <c r="A169">
        <v>169</v>
      </c>
      <c r="B169">
        <v>-4924.1324899303709</v>
      </c>
      <c r="C169">
        <v>-7021.4293880627838</v>
      </c>
      <c r="D169">
        <v>-7731.6556387495029</v>
      </c>
      <c r="E169">
        <v>-8716.9677919067544</v>
      </c>
      <c r="F169">
        <v>-8294.2029160757429</v>
      </c>
      <c r="G169">
        <v>-5424.2159114811002</v>
      </c>
      <c r="H169">
        <v>30682.432920565527</v>
      </c>
      <c r="I169">
        <v>280591.27185694454</v>
      </c>
      <c r="J169">
        <v>6710872.1036987938</v>
      </c>
      <c r="K169" s="68">
        <v>7181998.0937214475</v>
      </c>
    </row>
    <row r="170" spans="1:11" x14ac:dyDescent="0.35">
      <c r="A170">
        <v>170</v>
      </c>
      <c r="B170">
        <v>-4917.9859995052966</v>
      </c>
      <c r="C170">
        <v>-7019.8739032343046</v>
      </c>
      <c r="D170">
        <v>-7712.4300959693555</v>
      </c>
      <c r="E170">
        <v>-8704.8828160334087</v>
      </c>
      <c r="F170">
        <v>-8281.3036065205451</v>
      </c>
      <c r="G170">
        <v>-5410.1666433915489</v>
      </c>
      <c r="H170">
        <v>30930.928089068031</v>
      </c>
      <c r="I170">
        <v>280930.7221228964</v>
      </c>
      <c r="J170">
        <v>6713103.5387377599</v>
      </c>
      <c r="K170" s="68">
        <v>7182559.084516638</v>
      </c>
    </row>
    <row r="171" spans="1:11" x14ac:dyDescent="0.35">
      <c r="A171">
        <v>171</v>
      </c>
      <c r="B171">
        <v>-4890.8706175766438</v>
      </c>
      <c r="C171">
        <v>-6980.6316898150517</v>
      </c>
      <c r="D171">
        <v>-7648.2894038428512</v>
      </c>
      <c r="E171">
        <v>-8646.4764499226185</v>
      </c>
      <c r="F171">
        <v>-8262.6734504214928</v>
      </c>
      <c r="G171">
        <v>-5389.8855797665301</v>
      </c>
      <c r="H171">
        <v>30952.018417067593</v>
      </c>
      <c r="I171">
        <v>281095.00788626535</v>
      </c>
      <c r="J171">
        <v>6717289.5788123868</v>
      </c>
      <c r="K171" s="68">
        <v>7185127.664332428</v>
      </c>
    </row>
    <row r="172" spans="1:11" x14ac:dyDescent="0.35">
      <c r="A172">
        <v>172</v>
      </c>
      <c r="B172">
        <v>-4889.4101727604057</v>
      </c>
      <c r="C172">
        <v>-6939.0505001433403</v>
      </c>
      <c r="D172">
        <v>-7583.9705655620955</v>
      </c>
      <c r="E172">
        <v>-8598.1717497298559</v>
      </c>
      <c r="F172">
        <v>-8210.8735760136169</v>
      </c>
      <c r="G172">
        <v>-5296.3925950808598</v>
      </c>
      <c r="H172">
        <v>30973.840802795967</v>
      </c>
      <c r="I172">
        <v>281254.78530857305</v>
      </c>
      <c r="J172">
        <v>6717384.6111560371</v>
      </c>
      <c r="K172" s="68">
        <v>7186788.0085537303</v>
      </c>
    </row>
    <row r="173" spans="1:11" x14ac:dyDescent="0.35">
      <c r="A173">
        <v>173</v>
      </c>
      <c r="B173">
        <v>-4852.5134695918405</v>
      </c>
      <c r="C173">
        <v>-6854.8310633511901</v>
      </c>
      <c r="D173">
        <v>-7512.4833162780278</v>
      </c>
      <c r="E173">
        <v>-8543.8790795794521</v>
      </c>
      <c r="F173">
        <v>-8034.2388794326043</v>
      </c>
      <c r="G173">
        <v>-5274.2980733704453</v>
      </c>
      <c r="H173">
        <v>31013.46974455591</v>
      </c>
      <c r="I173">
        <v>281264.52278493758</v>
      </c>
      <c r="J173">
        <v>6719425.678271302</v>
      </c>
      <c r="K173" s="68">
        <v>7188095.8217191473</v>
      </c>
    </row>
    <row r="174" spans="1:11" x14ac:dyDescent="0.35">
      <c r="A174">
        <v>174</v>
      </c>
      <c r="B174">
        <v>-4829.2457838132841</v>
      </c>
      <c r="C174">
        <v>-6668.8386142796708</v>
      </c>
      <c r="D174">
        <v>-7481.8405448593267</v>
      </c>
      <c r="E174">
        <v>-8477.7385025014009</v>
      </c>
      <c r="F174">
        <v>-7979.6137151890362</v>
      </c>
      <c r="G174">
        <v>-5156.1404481877098</v>
      </c>
      <c r="H174">
        <v>31140.957812499593</v>
      </c>
      <c r="I174">
        <v>281521.91875767487</v>
      </c>
      <c r="J174">
        <v>6719740.658208061</v>
      </c>
      <c r="K174" s="68">
        <v>7188174.9822002416</v>
      </c>
    </row>
    <row r="175" spans="1:11" x14ac:dyDescent="0.35">
      <c r="A175">
        <v>175</v>
      </c>
      <c r="B175">
        <v>-4746.9850375796013</v>
      </c>
      <c r="C175">
        <v>-6648.8742022083043</v>
      </c>
      <c r="D175">
        <v>-7477.0006890523346</v>
      </c>
      <c r="E175">
        <v>-8441.2944400434935</v>
      </c>
      <c r="F175">
        <v>-7979.58624336302</v>
      </c>
      <c r="G175">
        <v>-5117.0160903538372</v>
      </c>
      <c r="H175">
        <v>31165.765968464544</v>
      </c>
      <c r="I175">
        <v>281579.82665062085</v>
      </c>
      <c r="J175">
        <v>6720087.8727592444</v>
      </c>
      <c r="K175" s="68">
        <v>7192574.2000155337</v>
      </c>
    </row>
    <row r="176" spans="1:11" x14ac:dyDescent="0.35">
      <c r="A176">
        <v>176</v>
      </c>
      <c r="B176">
        <v>-4732.9625623399279</v>
      </c>
      <c r="C176">
        <v>-6570.8682555840569</v>
      </c>
      <c r="D176">
        <v>-7435.1212311738682</v>
      </c>
      <c r="E176">
        <v>-8360.134939221789</v>
      </c>
      <c r="F176">
        <v>-7971.5728519852382</v>
      </c>
      <c r="G176">
        <v>-5104.0113388492882</v>
      </c>
      <c r="H176">
        <v>31324.173028262714</v>
      </c>
      <c r="I176">
        <v>281608.89035241317</v>
      </c>
      <c r="J176">
        <v>6720161.7151656607</v>
      </c>
      <c r="K176" s="68">
        <v>7192682.9228114421</v>
      </c>
    </row>
    <row r="177" spans="1:11" x14ac:dyDescent="0.35">
      <c r="A177">
        <v>177</v>
      </c>
      <c r="B177">
        <v>-4730.0665460774699</v>
      </c>
      <c r="C177">
        <v>-6524.564690430976</v>
      </c>
      <c r="D177">
        <v>-7372.0792988409885</v>
      </c>
      <c r="E177">
        <v>-8335.8619842780026</v>
      </c>
      <c r="F177">
        <v>-7957.2081500608328</v>
      </c>
      <c r="G177">
        <v>-5024.9968227435438</v>
      </c>
      <c r="H177">
        <v>31610.705513551831</v>
      </c>
      <c r="I177">
        <v>281931.65114635194</v>
      </c>
      <c r="J177">
        <v>6720877.6977130845</v>
      </c>
      <c r="K177" s="68">
        <v>7194766.3979581641</v>
      </c>
    </row>
    <row r="178" spans="1:11" x14ac:dyDescent="0.35">
      <c r="A178">
        <v>178</v>
      </c>
      <c r="B178">
        <v>-4613.5276698628541</v>
      </c>
      <c r="C178">
        <v>-6513.3397214874285</v>
      </c>
      <c r="D178">
        <v>-7355.3924279255216</v>
      </c>
      <c r="E178">
        <v>-8319.1543916320989</v>
      </c>
      <c r="F178">
        <v>-7956.6927673288546</v>
      </c>
      <c r="G178">
        <v>-4992.2508975448736</v>
      </c>
      <c r="H178">
        <v>31739.361676448985</v>
      </c>
      <c r="I178">
        <v>281971.76561012311</v>
      </c>
      <c r="J178">
        <v>6722095.8103834474</v>
      </c>
      <c r="K178" s="68">
        <v>7194785.7858083015</v>
      </c>
    </row>
    <row r="179" spans="1:11" x14ac:dyDescent="0.35">
      <c r="A179">
        <v>179</v>
      </c>
      <c r="B179">
        <v>-4612.6916415599144</v>
      </c>
      <c r="C179">
        <v>-6486.0837842822311</v>
      </c>
      <c r="D179">
        <v>-7323.172033017865</v>
      </c>
      <c r="E179">
        <v>-8293.2519556762218</v>
      </c>
      <c r="F179">
        <v>-7891.56535100777</v>
      </c>
      <c r="G179">
        <v>-4888.5231006080576</v>
      </c>
      <c r="H179">
        <v>31744.597100580693</v>
      </c>
      <c r="I179">
        <v>282109.15807176556</v>
      </c>
      <c r="J179">
        <v>6724632.0310511151</v>
      </c>
      <c r="K179" s="68">
        <v>7196946.4849208724</v>
      </c>
    </row>
    <row r="180" spans="1:11" x14ac:dyDescent="0.35">
      <c r="A180">
        <v>180</v>
      </c>
      <c r="B180">
        <v>-4593.9140733886743</v>
      </c>
      <c r="C180">
        <v>-6472.8078104448869</v>
      </c>
      <c r="D180">
        <v>-7322.6611601735876</v>
      </c>
      <c r="E180">
        <v>-8171.4708650349439</v>
      </c>
      <c r="F180">
        <v>-7859.4138365934305</v>
      </c>
      <c r="G180">
        <v>-4865.4048339696355</v>
      </c>
      <c r="H180">
        <v>31888.756555925778</v>
      </c>
      <c r="I180">
        <v>282216.64573210129</v>
      </c>
      <c r="J180">
        <v>6725399.9518538509</v>
      </c>
      <c r="K180" s="68">
        <v>7197180.5058818646</v>
      </c>
    </row>
    <row r="181" spans="1:11" x14ac:dyDescent="0.35">
      <c r="A181">
        <v>181</v>
      </c>
      <c r="B181">
        <v>-4555.213642352398</v>
      </c>
      <c r="C181">
        <v>-6421.710205863953</v>
      </c>
      <c r="D181">
        <v>-7318.066155413374</v>
      </c>
      <c r="E181">
        <v>-8169.8378349603117</v>
      </c>
      <c r="F181">
        <v>-7852.9526423899551</v>
      </c>
      <c r="G181">
        <v>-4693.2014651496047</v>
      </c>
      <c r="H181">
        <v>31959.193244729679</v>
      </c>
      <c r="I181">
        <v>282483.00743976067</v>
      </c>
      <c r="J181">
        <v>6728508.1680714181</v>
      </c>
      <c r="K181" s="68">
        <v>7198613.9422396375</v>
      </c>
    </row>
    <row r="182" spans="1:11" x14ac:dyDescent="0.35">
      <c r="A182">
        <v>182</v>
      </c>
      <c r="B182">
        <v>-4441.0837458242422</v>
      </c>
      <c r="C182">
        <v>-6377.4827680448852</v>
      </c>
      <c r="D182">
        <v>-7232.0634131313345</v>
      </c>
      <c r="E182">
        <v>-8168.4215308705443</v>
      </c>
      <c r="F182">
        <v>-7830.0754712340631</v>
      </c>
      <c r="G182">
        <v>-4673.6241517936051</v>
      </c>
      <c r="H182">
        <v>31992.491897199998</v>
      </c>
      <c r="I182">
        <v>283250.32576797431</v>
      </c>
      <c r="J182">
        <v>6731640.3718783902</v>
      </c>
      <c r="K182" s="68">
        <v>7200765.8691942925</v>
      </c>
    </row>
    <row r="183" spans="1:11" x14ac:dyDescent="0.35">
      <c r="A183">
        <v>183</v>
      </c>
      <c r="B183">
        <v>-4257.037380054584</v>
      </c>
      <c r="C183">
        <v>-6305.6590178236311</v>
      </c>
      <c r="D183">
        <v>-7224.6114410814789</v>
      </c>
      <c r="E183">
        <v>-8128.027984275569</v>
      </c>
      <c r="F183">
        <v>-7813.7775291434082</v>
      </c>
      <c r="G183">
        <v>-4661.6296783875496</v>
      </c>
      <c r="H183">
        <v>32031.587757171335</v>
      </c>
      <c r="I183">
        <v>283385.84689695435</v>
      </c>
      <c r="J183">
        <v>6731941.7419964112</v>
      </c>
      <c r="K183" s="68">
        <v>7201357.2649167776</v>
      </c>
    </row>
    <row r="184" spans="1:11" x14ac:dyDescent="0.35">
      <c r="A184">
        <v>184</v>
      </c>
      <c r="B184">
        <v>-4201.7325038989893</v>
      </c>
      <c r="C184">
        <v>-6258.1542807952565</v>
      </c>
      <c r="D184">
        <v>-7196.3359619937291</v>
      </c>
      <c r="E184">
        <v>-8086.0303028149174</v>
      </c>
      <c r="F184">
        <v>-7788.3458021066954</v>
      </c>
      <c r="G184">
        <v>-4430.1450649490589</v>
      </c>
      <c r="H184">
        <v>32112.022895035927</v>
      </c>
      <c r="I184">
        <v>283634.41070195514</v>
      </c>
      <c r="J184">
        <v>6732337.8521067798</v>
      </c>
      <c r="K184" s="68">
        <v>7205658.631538094</v>
      </c>
    </row>
    <row r="185" spans="1:11" x14ac:dyDescent="0.35">
      <c r="A185">
        <v>185</v>
      </c>
      <c r="B185">
        <v>-4196.6413837625705</v>
      </c>
      <c r="C185">
        <v>-6240.5242874706437</v>
      </c>
      <c r="D185">
        <v>-7183.0013047967705</v>
      </c>
      <c r="E185">
        <v>-8044.0824945945615</v>
      </c>
      <c r="F185">
        <v>-7773.1133550721624</v>
      </c>
      <c r="G185">
        <v>-4393.4318875822901</v>
      </c>
      <c r="H185">
        <v>32244.165817019497</v>
      </c>
      <c r="I185">
        <v>283746.53037248441</v>
      </c>
      <c r="J185">
        <v>6734735.6033924501</v>
      </c>
      <c r="K185" s="68">
        <v>7207198.8109190408</v>
      </c>
    </row>
    <row r="186" spans="1:11" x14ac:dyDescent="0.35">
      <c r="A186">
        <v>186</v>
      </c>
      <c r="B186">
        <v>-4171.0370327685068</v>
      </c>
      <c r="C186">
        <v>-6203.3964057445482</v>
      </c>
      <c r="D186">
        <v>-7178.538173845468</v>
      </c>
      <c r="E186">
        <v>-8004.0914796766156</v>
      </c>
      <c r="F186">
        <v>-7653.855651750443</v>
      </c>
      <c r="G186">
        <v>-4365.2002905037243</v>
      </c>
      <c r="H186">
        <v>32346.489245533099</v>
      </c>
      <c r="I186">
        <v>283865.48443327309</v>
      </c>
      <c r="J186">
        <v>6737015.3818923933</v>
      </c>
      <c r="K186" s="68">
        <v>7208055.486417898</v>
      </c>
    </row>
    <row r="187" spans="1:11" x14ac:dyDescent="0.35">
      <c r="A187">
        <v>187</v>
      </c>
      <c r="B187">
        <v>-4018.7646181254777</v>
      </c>
      <c r="C187">
        <v>-6117.6804371677899</v>
      </c>
      <c r="D187">
        <v>-7157.0173062149925</v>
      </c>
      <c r="E187">
        <v>-8000.9796365883212</v>
      </c>
      <c r="F187">
        <v>-7646.9890746985884</v>
      </c>
      <c r="G187">
        <v>-4203.2801822516431</v>
      </c>
      <c r="H187">
        <v>32473.079789908294</v>
      </c>
      <c r="I187">
        <v>283964.22200797801</v>
      </c>
      <c r="J187">
        <v>6738173.0083420845</v>
      </c>
      <c r="K187" s="68">
        <v>7210060.5253493786</v>
      </c>
    </row>
    <row r="188" spans="1:11" x14ac:dyDescent="0.35">
      <c r="A188">
        <v>188</v>
      </c>
      <c r="B188">
        <v>-3853.2122438918814</v>
      </c>
      <c r="C188">
        <v>-6040.7218825332911</v>
      </c>
      <c r="D188">
        <v>-7154.1423177303022</v>
      </c>
      <c r="E188">
        <v>-7973.2339280385722</v>
      </c>
      <c r="F188">
        <v>-7619.4617666725135</v>
      </c>
      <c r="G188">
        <v>-4174.7179628007161</v>
      </c>
      <c r="H188">
        <v>32499.05625230672</v>
      </c>
      <c r="I188">
        <v>284045.27653470408</v>
      </c>
      <c r="J188">
        <v>6738887.5193960108</v>
      </c>
      <c r="K188" s="68">
        <v>7211573.2048688345</v>
      </c>
    </row>
    <row r="189" spans="1:11" x14ac:dyDescent="0.35">
      <c r="A189">
        <v>189</v>
      </c>
      <c r="B189">
        <v>-3838.0519798694672</v>
      </c>
      <c r="C189">
        <v>-6034.0413138595113</v>
      </c>
      <c r="D189">
        <v>-7099.42762221476</v>
      </c>
      <c r="E189">
        <v>-7955.5553685682717</v>
      </c>
      <c r="F189">
        <v>-7491.9309668565038</v>
      </c>
      <c r="G189">
        <v>-4064.2310792063799</v>
      </c>
      <c r="H189">
        <v>32546.123897934722</v>
      </c>
      <c r="I189">
        <v>284367.92283795698</v>
      </c>
      <c r="J189">
        <v>6749339.1444550939</v>
      </c>
      <c r="K189" s="68">
        <v>7212966.7666875562</v>
      </c>
    </row>
    <row r="190" spans="1:11" x14ac:dyDescent="0.35">
      <c r="A190">
        <v>190</v>
      </c>
      <c r="B190">
        <v>-3815.9319245486863</v>
      </c>
      <c r="C190">
        <v>-5997.1010523287923</v>
      </c>
      <c r="D190">
        <v>-7062.2833084690092</v>
      </c>
      <c r="E190">
        <v>-7888.8386830281543</v>
      </c>
      <c r="F190">
        <v>-7447.7913961409231</v>
      </c>
      <c r="G190">
        <v>-4028.2039848535337</v>
      </c>
      <c r="H190">
        <v>32625.044149675872</v>
      </c>
      <c r="I190">
        <v>285296.10956308997</v>
      </c>
      <c r="J190">
        <v>6749960.5968560129</v>
      </c>
      <c r="K190" s="68">
        <v>7214539.1783070061</v>
      </c>
    </row>
    <row r="191" spans="1:11" x14ac:dyDescent="0.35">
      <c r="A191">
        <v>191</v>
      </c>
      <c r="B191">
        <v>-3812.9659707182714</v>
      </c>
      <c r="C191">
        <v>-5934.331907122255</v>
      </c>
      <c r="D191">
        <v>-7026.3121058247416</v>
      </c>
      <c r="E191">
        <v>-7826.4403981393152</v>
      </c>
      <c r="F191">
        <v>-7435.212178586019</v>
      </c>
      <c r="G191">
        <v>-3915.58534363842</v>
      </c>
      <c r="H191">
        <v>32681.764020596398</v>
      </c>
      <c r="I191">
        <v>286701.15149312583</v>
      </c>
      <c r="J191">
        <v>6751448.5377881061</v>
      </c>
      <c r="K191" s="68">
        <v>7216360.6192777688</v>
      </c>
    </row>
    <row r="192" spans="1:11" x14ac:dyDescent="0.35">
      <c r="A192">
        <v>192</v>
      </c>
      <c r="B192">
        <v>-3780.0532561607524</v>
      </c>
      <c r="C192">
        <v>-5923.1298030511298</v>
      </c>
      <c r="D192">
        <v>-6952.682234706921</v>
      </c>
      <c r="E192">
        <v>-7807.3984196873989</v>
      </c>
      <c r="F192">
        <v>-7376.0164312570523</v>
      </c>
      <c r="G192">
        <v>-3905.5923361320142</v>
      </c>
      <c r="H192">
        <v>32714.705642925925</v>
      </c>
      <c r="I192">
        <v>286827.87742662727</v>
      </c>
      <c r="J192">
        <v>6751696.7976397695</v>
      </c>
      <c r="K192" s="68">
        <v>7216916.5133923907</v>
      </c>
    </row>
    <row r="193" spans="1:11" x14ac:dyDescent="0.35">
      <c r="A193">
        <v>193</v>
      </c>
      <c r="B193">
        <v>-3759.597765066731</v>
      </c>
      <c r="C193">
        <v>-5917.3250726115311</v>
      </c>
      <c r="D193">
        <v>-6899.5401464557453</v>
      </c>
      <c r="E193">
        <v>-7779.9594187515941</v>
      </c>
      <c r="F193">
        <v>-7366.4866917363488</v>
      </c>
      <c r="G193">
        <v>-3760.2444115702383</v>
      </c>
      <c r="H193">
        <v>32928.403773977559</v>
      </c>
      <c r="I193">
        <v>287018.15443561238</v>
      </c>
      <c r="J193">
        <v>6753451.4407765754</v>
      </c>
      <c r="K193" s="68">
        <v>7218536.3973345598</v>
      </c>
    </row>
    <row r="194" spans="1:11" x14ac:dyDescent="0.35">
      <c r="A194">
        <v>194</v>
      </c>
      <c r="B194">
        <v>-3721.4473178399398</v>
      </c>
      <c r="C194">
        <v>-5894.7520149156589</v>
      </c>
      <c r="D194">
        <v>-6892.5164148727326</v>
      </c>
      <c r="E194">
        <v>-7697.8258675075567</v>
      </c>
      <c r="F194">
        <v>-7289.8253542635557</v>
      </c>
      <c r="G194">
        <v>-3658.957260850766</v>
      </c>
      <c r="H194">
        <v>32948.647824310392</v>
      </c>
      <c r="I194">
        <v>287367.87845402141</v>
      </c>
      <c r="J194">
        <v>6756955.5524673257</v>
      </c>
      <c r="K194" s="68">
        <v>7223600.129479249</v>
      </c>
    </row>
    <row r="195" spans="1:11" x14ac:dyDescent="0.35">
      <c r="A195">
        <v>195</v>
      </c>
      <c r="B195">
        <v>-3692.8727537212249</v>
      </c>
      <c r="C195">
        <v>-5893.7249089581765</v>
      </c>
      <c r="D195">
        <v>-6885.5737285986897</v>
      </c>
      <c r="E195">
        <v>-7694.8602021960305</v>
      </c>
      <c r="F195">
        <v>-7242.7893789545242</v>
      </c>
      <c r="G195">
        <v>-3589.720006572777</v>
      </c>
      <c r="H195">
        <v>33066.320528930512</v>
      </c>
      <c r="I195">
        <v>287486.60657445417</v>
      </c>
      <c r="J195">
        <v>6757712.179136809</v>
      </c>
      <c r="K195" s="68">
        <v>7225149.4150711279</v>
      </c>
    </row>
    <row r="196" spans="1:11" x14ac:dyDescent="0.35">
      <c r="A196">
        <v>196</v>
      </c>
      <c r="B196">
        <v>-3639.3371007665992</v>
      </c>
      <c r="C196">
        <v>-5885.5160825760049</v>
      </c>
      <c r="D196">
        <v>-6858.5178421312567</v>
      </c>
      <c r="E196">
        <v>-7669.0532303380251</v>
      </c>
      <c r="F196">
        <v>-7231.1394440053955</v>
      </c>
      <c r="G196">
        <v>-3493.2320578359486</v>
      </c>
      <c r="H196">
        <v>33115.904357308391</v>
      </c>
      <c r="I196">
        <v>288142.72431423387</v>
      </c>
      <c r="J196">
        <v>6758119.6286294078</v>
      </c>
      <c r="K196" s="68">
        <v>7227617.2463160027</v>
      </c>
    </row>
    <row r="197" spans="1:11" x14ac:dyDescent="0.35">
      <c r="A197">
        <v>197</v>
      </c>
      <c r="B197">
        <v>-3609.116791448525</v>
      </c>
      <c r="C197">
        <v>-5875.186966508958</v>
      </c>
      <c r="D197">
        <v>-6855.0304236359671</v>
      </c>
      <c r="E197">
        <v>-7661.0494026556134</v>
      </c>
      <c r="F197">
        <v>-7206.3058535891087</v>
      </c>
      <c r="G197">
        <v>-3435.6505436845282</v>
      </c>
      <c r="H197">
        <v>33476.430417353447</v>
      </c>
      <c r="I197">
        <v>288750.11699974909</v>
      </c>
      <c r="J197">
        <v>6758382.5892287148</v>
      </c>
      <c r="K197" s="68">
        <v>7229926.5887465021</v>
      </c>
    </row>
    <row r="198" spans="1:11" x14ac:dyDescent="0.35">
      <c r="A198">
        <v>198</v>
      </c>
      <c r="B198">
        <v>-3504.9830774636443</v>
      </c>
      <c r="C198">
        <v>-5849.3087369662544</v>
      </c>
      <c r="D198">
        <v>-6826.2111649049857</v>
      </c>
      <c r="E198">
        <v>-7657.4306803090894</v>
      </c>
      <c r="F198">
        <v>-7186.4801324262289</v>
      </c>
      <c r="G198">
        <v>-3407.6279026507609</v>
      </c>
      <c r="H198">
        <v>33492.821939185589</v>
      </c>
      <c r="I198">
        <v>289036.57519913372</v>
      </c>
      <c r="J198">
        <v>6759164.743688724</v>
      </c>
      <c r="K198" s="68">
        <v>7230199.9977525268</v>
      </c>
    </row>
    <row r="199" spans="1:11" x14ac:dyDescent="0.35">
      <c r="A199">
        <v>199</v>
      </c>
      <c r="B199">
        <v>-3478.1592589222842</v>
      </c>
      <c r="C199">
        <v>-5815.9013870114941</v>
      </c>
      <c r="D199">
        <v>-6782.1705637113428</v>
      </c>
      <c r="E199">
        <v>-7621.5447096371809</v>
      </c>
      <c r="F199">
        <v>-7177.0313926355711</v>
      </c>
      <c r="G199">
        <v>-3344.8029211640942</v>
      </c>
      <c r="H199">
        <v>33523.664855733812</v>
      </c>
      <c r="I199">
        <v>289598.47384944832</v>
      </c>
      <c r="J199">
        <v>6759686.5047156774</v>
      </c>
      <c r="K199" s="68">
        <v>7239493.2101041172</v>
      </c>
    </row>
    <row r="200" spans="1:11" x14ac:dyDescent="0.35">
      <c r="A200">
        <v>200</v>
      </c>
      <c r="B200">
        <v>-3464.9148585725893</v>
      </c>
      <c r="C200">
        <v>-5809.248995977352</v>
      </c>
      <c r="D200">
        <v>-6732.8033830968443</v>
      </c>
      <c r="E200">
        <v>-7617.4986505208381</v>
      </c>
      <c r="F200">
        <v>-7168.3234658525962</v>
      </c>
      <c r="G200">
        <v>-3336.4884746455391</v>
      </c>
      <c r="H200">
        <v>33528.584887185709</v>
      </c>
      <c r="I200">
        <v>289709.24205546302</v>
      </c>
      <c r="J200">
        <v>6760794.3543925593</v>
      </c>
      <c r="K200" s="68">
        <v>7240557.5789172761</v>
      </c>
    </row>
    <row r="201" spans="1:11" x14ac:dyDescent="0.35">
      <c r="A201">
        <v>201</v>
      </c>
      <c r="B201">
        <v>-3459.6164384655485</v>
      </c>
      <c r="C201">
        <v>-5769.389757737581</v>
      </c>
      <c r="D201">
        <v>-6684.2247207949522</v>
      </c>
      <c r="E201">
        <v>-7611.4301590757204</v>
      </c>
      <c r="F201">
        <v>-7036.0175501321246</v>
      </c>
      <c r="G201">
        <v>-3330.3564077665787</v>
      </c>
      <c r="H201">
        <v>33542.743042883041</v>
      </c>
      <c r="I201">
        <v>289749.0762554268</v>
      </c>
      <c r="J201">
        <v>6760903.0737395557</v>
      </c>
      <c r="K201" s="68">
        <v>7241079.0967753017</v>
      </c>
    </row>
    <row r="202" spans="1:11" x14ac:dyDescent="0.35">
      <c r="A202">
        <v>202</v>
      </c>
      <c r="B202">
        <v>-3338.2567831236906</v>
      </c>
      <c r="C202">
        <v>-5738.0663148726399</v>
      </c>
      <c r="D202">
        <v>-6647.5175166285426</v>
      </c>
      <c r="E202">
        <v>-7608.0168687381783</v>
      </c>
      <c r="F202">
        <v>-6923.2082545806406</v>
      </c>
      <c r="G202">
        <v>-3318.0651982668005</v>
      </c>
      <c r="H202">
        <v>33765.376314916597</v>
      </c>
      <c r="I202">
        <v>290588.92409643909</v>
      </c>
      <c r="J202">
        <v>6762912.0911618704</v>
      </c>
      <c r="K202" s="68">
        <v>7242155.5601966977</v>
      </c>
    </row>
    <row r="203" spans="1:11" x14ac:dyDescent="0.35">
      <c r="A203">
        <v>203</v>
      </c>
      <c r="B203">
        <v>-3324.4671453923015</v>
      </c>
      <c r="C203">
        <v>-5719.1647020862692</v>
      </c>
      <c r="D203">
        <v>-6622.8226538924882</v>
      </c>
      <c r="E203">
        <v>-7575.2905718717038</v>
      </c>
      <c r="F203">
        <v>-6914.4633068317316</v>
      </c>
      <c r="G203">
        <v>-3302.0771541784129</v>
      </c>
      <c r="H203">
        <v>33909.84219067626</v>
      </c>
      <c r="I203">
        <v>291098.67465506343</v>
      </c>
      <c r="J203">
        <v>6763517.2671466935</v>
      </c>
      <c r="K203" s="68">
        <v>7243964.09402146</v>
      </c>
    </row>
    <row r="204" spans="1:11" x14ac:dyDescent="0.35">
      <c r="A204">
        <v>204</v>
      </c>
      <c r="B204">
        <v>-3322.203136696703</v>
      </c>
      <c r="C204">
        <v>-5713.4394031036463</v>
      </c>
      <c r="D204">
        <v>-6616.0036979979232</v>
      </c>
      <c r="E204">
        <v>-7570.0367094930161</v>
      </c>
      <c r="F204">
        <v>-6885.8204389819948</v>
      </c>
      <c r="G204">
        <v>-3299.3094877225926</v>
      </c>
      <c r="H204">
        <v>34018.339370083937</v>
      </c>
      <c r="I204">
        <v>291262.38963033393</v>
      </c>
      <c r="J204">
        <v>6766256.8976157587</v>
      </c>
      <c r="K204" s="68">
        <v>7246100.4207980419</v>
      </c>
    </row>
    <row r="205" spans="1:11" x14ac:dyDescent="0.35">
      <c r="A205">
        <v>205</v>
      </c>
      <c r="B205">
        <v>-3309.2600399767684</v>
      </c>
      <c r="C205">
        <v>-5713.4207788787317</v>
      </c>
      <c r="D205">
        <v>-6604.3714672174319</v>
      </c>
      <c r="E205">
        <v>-7353.2524340616219</v>
      </c>
      <c r="F205">
        <v>-6867.0040478103037</v>
      </c>
      <c r="G205">
        <v>-3285.3500837702395</v>
      </c>
      <c r="H205">
        <v>34151.975457538894</v>
      </c>
      <c r="I205">
        <v>291318.60418699746</v>
      </c>
      <c r="J205">
        <v>6768010.2656401526</v>
      </c>
      <c r="K205" s="68">
        <v>7248692.2751066126</v>
      </c>
    </row>
    <row r="206" spans="1:11" x14ac:dyDescent="0.35">
      <c r="A206">
        <v>206</v>
      </c>
      <c r="B206">
        <v>-3309.2027490511537</v>
      </c>
      <c r="C206">
        <v>-5708.9644320366333</v>
      </c>
      <c r="D206">
        <v>-6560.1076308942584</v>
      </c>
      <c r="E206">
        <v>-7314.3667933905808</v>
      </c>
      <c r="F206">
        <v>-6843.7499584469488</v>
      </c>
      <c r="G206">
        <v>-3284.5776043380224</v>
      </c>
      <c r="H206">
        <v>34298.075719294509</v>
      </c>
      <c r="I206">
        <v>291435.35574804409</v>
      </c>
      <c r="J206">
        <v>6768368.3189696455</v>
      </c>
      <c r="K206" s="68">
        <v>7249339.005839495</v>
      </c>
    </row>
    <row r="207" spans="1:11" x14ac:dyDescent="0.35">
      <c r="A207">
        <v>207</v>
      </c>
      <c r="B207">
        <v>-3209.8503930824754</v>
      </c>
      <c r="C207">
        <v>-5695.5650913616992</v>
      </c>
      <c r="D207">
        <v>-6496.2263417376016</v>
      </c>
      <c r="E207">
        <v>-7286.2213192350973</v>
      </c>
      <c r="F207">
        <v>-6816.2222364735426</v>
      </c>
      <c r="G207">
        <v>-3277.6558360160998</v>
      </c>
      <c r="H207">
        <v>34415.56781108056</v>
      </c>
      <c r="I207">
        <v>291569.89135241043</v>
      </c>
      <c r="J207">
        <v>6771118.9215197815</v>
      </c>
      <c r="K207" s="68">
        <v>7249902.3225795962</v>
      </c>
    </row>
    <row r="208" spans="1:11" x14ac:dyDescent="0.35">
      <c r="A208">
        <v>208</v>
      </c>
      <c r="B208">
        <v>-3194.7164051560835</v>
      </c>
      <c r="C208">
        <v>-5686.7114895867189</v>
      </c>
      <c r="D208">
        <v>-6483.5088171487514</v>
      </c>
      <c r="E208">
        <v>-7268.8742845298466</v>
      </c>
      <c r="F208">
        <v>-6771.2404943983593</v>
      </c>
      <c r="G208">
        <v>-3244.9179968794092</v>
      </c>
      <c r="H208">
        <v>34532.726855513407</v>
      </c>
      <c r="I208">
        <v>291724.65176843444</v>
      </c>
      <c r="J208">
        <v>6775959.8398308437</v>
      </c>
      <c r="K208" s="68">
        <v>7251297.9290967695</v>
      </c>
    </row>
    <row r="209" spans="1:11" x14ac:dyDescent="0.35">
      <c r="A209">
        <v>209</v>
      </c>
      <c r="B209">
        <v>-3193.5966771367061</v>
      </c>
      <c r="C209">
        <v>-5649.082160684884</v>
      </c>
      <c r="D209">
        <v>-6430.7483623244007</v>
      </c>
      <c r="E209">
        <v>-7237.0468185658474</v>
      </c>
      <c r="F209">
        <v>-6752.8550704023246</v>
      </c>
      <c r="G209">
        <v>-3160.7366675430039</v>
      </c>
      <c r="H209">
        <v>34793.717718822918</v>
      </c>
      <c r="I209">
        <v>292440.36079883453</v>
      </c>
      <c r="J209">
        <v>6778847.8092925064</v>
      </c>
      <c r="K209" s="68">
        <v>7251840.2869540723</v>
      </c>
    </row>
    <row r="210" spans="1:11" x14ac:dyDescent="0.35">
      <c r="A210">
        <v>210</v>
      </c>
      <c r="B210">
        <v>-3184.359453033881</v>
      </c>
      <c r="C210">
        <v>-5618.6241890639176</v>
      </c>
      <c r="D210">
        <v>-6370.915760378095</v>
      </c>
      <c r="E210">
        <v>-7177.8802410722965</v>
      </c>
      <c r="F210">
        <v>-6739.3485883375852</v>
      </c>
      <c r="G210">
        <v>-3143.0293730245339</v>
      </c>
      <c r="H210">
        <v>34819.314131467581</v>
      </c>
      <c r="I210">
        <v>292536.06287039787</v>
      </c>
      <c r="J210">
        <v>6778951.9367512567</v>
      </c>
      <c r="K210" s="68">
        <v>7255343.2438942688</v>
      </c>
    </row>
    <row r="211" spans="1:11" x14ac:dyDescent="0.35">
      <c r="A211">
        <v>211</v>
      </c>
      <c r="B211">
        <v>-3101.8386033889014</v>
      </c>
      <c r="C211">
        <v>-5617.3714553703257</v>
      </c>
      <c r="D211">
        <v>-6367.5127381464399</v>
      </c>
      <c r="E211">
        <v>-7086.06891830717</v>
      </c>
      <c r="F211">
        <v>-6727.1911552348802</v>
      </c>
      <c r="G211">
        <v>-3107.3714530468042</v>
      </c>
      <c r="H211">
        <v>34891.827366954865</v>
      </c>
      <c r="I211">
        <v>294109.25124859146</v>
      </c>
      <c r="J211">
        <v>6779542.026769923</v>
      </c>
      <c r="K211" s="68">
        <v>7255937.9579022862</v>
      </c>
    </row>
    <row r="212" spans="1:11" x14ac:dyDescent="0.35">
      <c r="A212">
        <v>212</v>
      </c>
      <c r="B212">
        <v>-3100.7934261113332</v>
      </c>
      <c r="C212">
        <v>-5606.0500863420029</v>
      </c>
      <c r="D212">
        <v>-6288.6032968779582</v>
      </c>
      <c r="E212">
        <v>-7044.0079138513765</v>
      </c>
      <c r="F212">
        <v>-6726.8999809640445</v>
      </c>
      <c r="G212">
        <v>-3092.7595923514205</v>
      </c>
      <c r="H212">
        <v>34948.407119048614</v>
      </c>
      <c r="I212">
        <v>294119.18587054824</v>
      </c>
      <c r="J212">
        <v>6780295.6720170388</v>
      </c>
      <c r="K212" s="68">
        <v>7259199.0255905045</v>
      </c>
    </row>
    <row r="213" spans="1:11" x14ac:dyDescent="0.35">
      <c r="A213">
        <v>213</v>
      </c>
      <c r="B213">
        <v>-3089.1640264317393</v>
      </c>
      <c r="C213">
        <v>-5593.6172269623867</v>
      </c>
      <c r="D213">
        <v>-6250.2280584543078</v>
      </c>
      <c r="E213">
        <v>-7030.0096239421246</v>
      </c>
      <c r="F213">
        <v>-6678.8183970955552</v>
      </c>
      <c r="G213">
        <v>-2931.0559603109768</v>
      </c>
      <c r="H213">
        <v>34972.038613938814</v>
      </c>
      <c r="I213">
        <v>295498.97214338568</v>
      </c>
      <c r="J213">
        <v>6781064.514513419</v>
      </c>
      <c r="K213" s="68">
        <v>7259641.3016962651</v>
      </c>
    </row>
    <row r="214" spans="1:11" x14ac:dyDescent="0.35">
      <c r="A214">
        <v>214</v>
      </c>
      <c r="B214">
        <v>-3025.4597459831384</v>
      </c>
      <c r="C214">
        <v>-5558.4166689613139</v>
      </c>
      <c r="D214">
        <v>-6235.3881130886548</v>
      </c>
      <c r="E214">
        <v>-6998.2773651847174</v>
      </c>
      <c r="F214">
        <v>-6671.2000180863834</v>
      </c>
      <c r="G214">
        <v>-2897.2044438284502</v>
      </c>
      <c r="H214">
        <v>35113.597941296932</v>
      </c>
      <c r="I214">
        <v>295838.18369787675</v>
      </c>
      <c r="J214">
        <v>6786008.835179219</v>
      </c>
      <c r="K214" s="68">
        <v>7264183.8085546587</v>
      </c>
    </row>
    <row r="215" spans="1:11" x14ac:dyDescent="0.35">
      <c r="A215">
        <v>215</v>
      </c>
      <c r="B215">
        <v>-3009.4603247712284</v>
      </c>
      <c r="C215">
        <v>-5556.4498443680695</v>
      </c>
      <c r="D215">
        <v>-6199.717584630328</v>
      </c>
      <c r="E215">
        <v>-6995.8471396776404</v>
      </c>
      <c r="F215">
        <v>-6644.5516752850526</v>
      </c>
      <c r="G215">
        <v>-2759.4036872634424</v>
      </c>
      <c r="H215">
        <v>35195.781798514392</v>
      </c>
      <c r="I215">
        <v>296049.10824019444</v>
      </c>
      <c r="J215">
        <v>6787096.1245148368</v>
      </c>
      <c r="K215" s="68">
        <v>7268390.2474844418</v>
      </c>
    </row>
    <row r="216" spans="1:11" x14ac:dyDescent="0.35">
      <c r="A216">
        <v>216</v>
      </c>
      <c r="B216">
        <v>-2962.8685925468817</v>
      </c>
      <c r="C216">
        <v>-5521.7706725099206</v>
      </c>
      <c r="D216">
        <v>-6168.8390700485024</v>
      </c>
      <c r="E216">
        <v>-6984.9889001893262</v>
      </c>
      <c r="F216">
        <v>-6612.4236502169715</v>
      </c>
      <c r="G216">
        <v>-2617.9545751587689</v>
      </c>
      <c r="H216">
        <v>35245.278988549268</v>
      </c>
      <c r="I216">
        <v>296226.20930198533</v>
      </c>
      <c r="J216">
        <v>6790117.6596050588</v>
      </c>
      <c r="K216" s="68">
        <v>7268429.2399209384</v>
      </c>
    </row>
    <row r="217" spans="1:11" x14ac:dyDescent="0.35">
      <c r="A217">
        <v>217</v>
      </c>
      <c r="B217">
        <v>-2771.9984530456004</v>
      </c>
      <c r="C217">
        <v>-5516.3740429277223</v>
      </c>
      <c r="D217">
        <v>-6164.4571881399033</v>
      </c>
      <c r="E217">
        <v>-6895.5222610203909</v>
      </c>
      <c r="F217">
        <v>-6562.874935114919</v>
      </c>
      <c r="G217">
        <v>-2603.6969872996483</v>
      </c>
      <c r="H217">
        <v>35322.720840560927</v>
      </c>
      <c r="I217">
        <v>296381.77324857557</v>
      </c>
      <c r="J217">
        <v>6791315.6439393098</v>
      </c>
      <c r="K217" s="68">
        <v>7269804.5497149387</v>
      </c>
    </row>
    <row r="218" spans="1:11" x14ac:dyDescent="0.35">
      <c r="A218">
        <v>218</v>
      </c>
      <c r="B218">
        <v>-2355.8641253906162</v>
      </c>
      <c r="C218">
        <v>-5357.7509834118164</v>
      </c>
      <c r="D218">
        <v>-6160.085070321622</v>
      </c>
      <c r="E218">
        <v>-6800.0980848798245</v>
      </c>
      <c r="F218">
        <v>-6463.8206849371572</v>
      </c>
      <c r="G218">
        <v>-2580.4707385853358</v>
      </c>
      <c r="H218">
        <v>35394.466399106255</v>
      </c>
      <c r="I218">
        <v>296860.10732367035</v>
      </c>
      <c r="J218">
        <v>6791689.4164850451</v>
      </c>
      <c r="K218" s="68">
        <v>7271252.6375423651</v>
      </c>
    </row>
    <row r="219" spans="1:11" x14ac:dyDescent="0.35">
      <c r="A219">
        <v>219</v>
      </c>
      <c r="B219">
        <v>-2348.3147458419821</v>
      </c>
      <c r="C219">
        <v>-5262.0969284188777</v>
      </c>
      <c r="D219">
        <v>-6156.6000971164958</v>
      </c>
      <c r="E219">
        <v>-6780.4837092974194</v>
      </c>
      <c r="F219">
        <v>-6364.6187076398937</v>
      </c>
      <c r="G219">
        <v>-2558.0859002728675</v>
      </c>
      <c r="H219">
        <v>35536.44515183074</v>
      </c>
      <c r="I219">
        <v>296982.20205820864</v>
      </c>
      <c r="J219">
        <v>6792252.0432554139</v>
      </c>
      <c r="K219" s="68">
        <v>7274874.9360750616</v>
      </c>
    </row>
    <row r="220" spans="1:11" x14ac:dyDescent="0.35">
      <c r="A220">
        <v>220</v>
      </c>
      <c r="B220">
        <v>-2285.622501134872</v>
      </c>
      <c r="C220">
        <v>-5212.8593214011635</v>
      </c>
      <c r="D220">
        <v>-6151.4137436484089</v>
      </c>
      <c r="E220">
        <v>-6754.4782749111746</v>
      </c>
      <c r="F220">
        <v>-6293.1726565214485</v>
      </c>
      <c r="G220">
        <v>-2552.6298621618462</v>
      </c>
      <c r="H220">
        <v>35810.925333051564</v>
      </c>
      <c r="I220">
        <v>297273.8699069338</v>
      </c>
      <c r="J220">
        <v>6792784.0573883066</v>
      </c>
      <c r="K220" s="68">
        <v>7277925.709088969</v>
      </c>
    </row>
    <row r="221" spans="1:11" x14ac:dyDescent="0.35">
      <c r="A221">
        <v>221</v>
      </c>
      <c r="B221">
        <v>-2274.8000941492646</v>
      </c>
      <c r="C221">
        <v>-5212.6348695228089</v>
      </c>
      <c r="D221">
        <v>-6060.1893601487718</v>
      </c>
      <c r="E221">
        <v>-6732.1970299270652</v>
      </c>
      <c r="F221">
        <v>-6118.6774591752364</v>
      </c>
      <c r="G221">
        <v>-2497.7747681197716</v>
      </c>
      <c r="H221">
        <v>35825.44478605676</v>
      </c>
      <c r="I221">
        <v>297972.8408447007</v>
      </c>
      <c r="J221">
        <v>6793242.1753406087</v>
      </c>
      <c r="K221" s="68">
        <v>7286337.0969636366</v>
      </c>
    </row>
    <row r="222" spans="1:11" x14ac:dyDescent="0.35">
      <c r="A222">
        <v>222</v>
      </c>
      <c r="B222">
        <v>-2255.194702945646</v>
      </c>
      <c r="C222">
        <v>-5177.5208690607633</v>
      </c>
      <c r="D222">
        <v>-6058.9528612051572</v>
      </c>
      <c r="E222">
        <v>-6716.5669805320258</v>
      </c>
      <c r="F222">
        <v>-6115.48691458147</v>
      </c>
      <c r="G222">
        <v>-2467.7763892118851</v>
      </c>
      <c r="H222">
        <v>35859.549376438226</v>
      </c>
      <c r="I222">
        <v>298064.1181105657</v>
      </c>
      <c r="J222">
        <v>6793257.8829327011</v>
      </c>
      <c r="K222" s="68">
        <v>7286857.9014254827</v>
      </c>
    </row>
    <row r="223" spans="1:11" x14ac:dyDescent="0.35">
      <c r="A223">
        <v>223</v>
      </c>
      <c r="B223">
        <v>-2209.7207690823816</v>
      </c>
      <c r="C223">
        <v>-5176.4104629512813</v>
      </c>
      <c r="D223">
        <v>-6050.3056041490327</v>
      </c>
      <c r="E223">
        <v>-6650.1914113863422</v>
      </c>
      <c r="F223">
        <v>-6069.4269369389294</v>
      </c>
      <c r="G223">
        <v>-2438.1588502405511</v>
      </c>
      <c r="H223">
        <v>36216.899619387601</v>
      </c>
      <c r="I223">
        <v>298298.21966961084</v>
      </c>
      <c r="J223">
        <v>6794975.797088963</v>
      </c>
      <c r="K223" s="68">
        <v>7288530.0888433447</v>
      </c>
    </row>
    <row r="224" spans="1:11" x14ac:dyDescent="0.35">
      <c r="A224">
        <v>224</v>
      </c>
      <c r="B224">
        <v>-2183.0570880890018</v>
      </c>
      <c r="C224">
        <v>-5166.7471995816104</v>
      </c>
      <c r="D224">
        <v>-6029.9929786690955</v>
      </c>
      <c r="E224">
        <v>-6634.2082425017661</v>
      </c>
      <c r="F224">
        <v>-6065.4513186657096</v>
      </c>
      <c r="G224">
        <v>-2385.9820401999827</v>
      </c>
      <c r="H224">
        <v>36376.47867296794</v>
      </c>
      <c r="I224">
        <v>298520.29113699083</v>
      </c>
      <c r="J224">
        <v>6795025.1920861937</v>
      </c>
      <c r="K224" s="68">
        <v>7289589.7132113036</v>
      </c>
    </row>
    <row r="225" spans="1:11" x14ac:dyDescent="0.35">
      <c r="A225">
        <v>225</v>
      </c>
      <c r="B225">
        <v>-2163.0149391708833</v>
      </c>
      <c r="C225">
        <v>-5156.6938334703445</v>
      </c>
      <c r="D225">
        <v>-6018.1241057788393</v>
      </c>
      <c r="E225">
        <v>-6598.7244397609593</v>
      </c>
      <c r="F225">
        <v>-5977.4258730117599</v>
      </c>
      <c r="G225">
        <v>-2267.7913270576623</v>
      </c>
      <c r="H225">
        <v>36420.420661166958</v>
      </c>
      <c r="I225">
        <v>298572.96570951358</v>
      </c>
      <c r="J225">
        <v>6797969.0044790758</v>
      </c>
      <c r="K225" s="68">
        <v>7289678.0657826131</v>
      </c>
    </row>
    <row r="226" spans="1:11" x14ac:dyDescent="0.35">
      <c r="A226">
        <v>226</v>
      </c>
      <c r="B226">
        <v>-2161.3315595817053</v>
      </c>
      <c r="C226">
        <v>-5113.0953134509209</v>
      </c>
      <c r="D226">
        <v>-5977.7626099201798</v>
      </c>
      <c r="E226">
        <v>-6531.4418235336916</v>
      </c>
      <c r="F226">
        <v>-5970.0913726322733</v>
      </c>
      <c r="G226">
        <v>-2253.8356759161638</v>
      </c>
      <c r="H226">
        <v>36627.13610664368</v>
      </c>
      <c r="I226">
        <v>298593.19063398818</v>
      </c>
      <c r="J226">
        <v>6798406.5079941629</v>
      </c>
      <c r="K226" s="68">
        <v>7290897.6820283504</v>
      </c>
    </row>
    <row r="227" spans="1:11" x14ac:dyDescent="0.35">
      <c r="A227">
        <v>227</v>
      </c>
      <c r="B227">
        <v>-2160.1142673275408</v>
      </c>
      <c r="C227">
        <v>-5076.6325449561473</v>
      </c>
      <c r="D227">
        <v>-5960.065138230726</v>
      </c>
      <c r="E227">
        <v>-6507.7512172627003</v>
      </c>
      <c r="F227">
        <v>-5906.7434260383507</v>
      </c>
      <c r="G227">
        <v>-2248.458090233049</v>
      </c>
      <c r="H227">
        <v>36668.215293583322</v>
      </c>
      <c r="I227">
        <v>298667.35963232192</v>
      </c>
      <c r="J227">
        <v>6802206.1528742723</v>
      </c>
      <c r="K227" s="68">
        <v>7293932.0660353051</v>
      </c>
    </row>
    <row r="228" spans="1:11" x14ac:dyDescent="0.35">
      <c r="A228">
        <v>228</v>
      </c>
      <c r="B228">
        <v>-2158.6223470907635</v>
      </c>
      <c r="C228">
        <v>-5070.2331862430128</v>
      </c>
      <c r="D228">
        <v>-5932.6920541915042</v>
      </c>
      <c r="E228">
        <v>-6503.4622252308818</v>
      </c>
      <c r="F228">
        <v>-5901.1690627848748</v>
      </c>
      <c r="G228">
        <v>-2232.3142133857004</v>
      </c>
      <c r="H228">
        <v>36706.37724608658</v>
      </c>
      <c r="I228">
        <v>300248.12525396526</v>
      </c>
      <c r="J228">
        <v>6810838.7752102315</v>
      </c>
      <c r="K228" s="68">
        <v>7295036.9480436454</v>
      </c>
    </row>
    <row r="229" spans="1:11" x14ac:dyDescent="0.35">
      <c r="A229">
        <v>229</v>
      </c>
      <c r="B229">
        <v>-2156.5259259268641</v>
      </c>
      <c r="C229">
        <v>-5053.5335440097633</v>
      </c>
      <c r="D229">
        <v>-5922.8346414903554</v>
      </c>
      <c r="E229">
        <v>-6453.8819357774373</v>
      </c>
      <c r="F229">
        <v>-5794.9627193064407</v>
      </c>
      <c r="G229">
        <v>-2132.0211182099411</v>
      </c>
      <c r="H229">
        <v>36960.858323380649</v>
      </c>
      <c r="I229">
        <v>300380.58891330962</v>
      </c>
      <c r="J229">
        <v>6813048.4800813077</v>
      </c>
      <c r="K229" s="68">
        <v>7298686.1992528047</v>
      </c>
    </row>
    <row r="230" spans="1:11" x14ac:dyDescent="0.35">
      <c r="A230">
        <v>230</v>
      </c>
      <c r="B230">
        <v>-2149.9266796327902</v>
      </c>
      <c r="C230">
        <v>-5046.6467487737718</v>
      </c>
      <c r="D230">
        <v>-5832.4535843686044</v>
      </c>
      <c r="E230">
        <v>-6424.6971661524858</v>
      </c>
      <c r="F230">
        <v>-5769.861042045809</v>
      </c>
      <c r="G230">
        <v>-2099.7828102016792</v>
      </c>
      <c r="H230">
        <v>36967.618237103496</v>
      </c>
      <c r="I230">
        <v>301209.71940809919</v>
      </c>
      <c r="J230">
        <v>6814828.3496650057</v>
      </c>
      <c r="K230" s="68">
        <v>7300328.3118537404</v>
      </c>
    </row>
    <row r="231" spans="1:11" x14ac:dyDescent="0.35">
      <c r="A231">
        <v>231</v>
      </c>
      <c r="B231">
        <v>-2139.998938917859</v>
      </c>
      <c r="C231">
        <v>-5044.7462725970354</v>
      </c>
      <c r="D231">
        <v>-5810.8843055304442</v>
      </c>
      <c r="E231">
        <v>-6387.5753603952808</v>
      </c>
      <c r="F231">
        <v>-5753.3475179320212</v>
      </c>
      <c r="G231">
        <v>-2096.1601997450521</v>
      </c>
      <c r="H231">
        <v>37033.5158274883</v>
      </c>
      <c r="I231">
        <v>301267.9818476392</v>
      </c>
      <c r="J231">
        <v>6816030.3588780779</v>
      </c>
      <c r="K231" s="68">
        <v>7304640.1532587428</v>
      </c>
    </row>
    <row r="232" spans="1:11" x14ac:dyDescent="0.35">
      <c r="A232">
        <v>232</v>
      </c>
      <c r="B232">
        <v>-2132.8732579126809</v>
      </c>
      <c r="C232">
        <v>-5033.4576524743879</v>
      </c>
      <c r="D232">
        <v>-5806.2162017580122</v>
      </c>
      <c r="E232">
        <v>-6375.1683010743509</v>
      </c>
      <c r="F232">
        <v>-5723.9781419784504</v>
      </c>
      <c r="G232">
        <v>-2074.3354910736962</v>
      </c>
      <c r="H232">
        <v>37269.598469160337</v>
      </c>
      <c r="I232">
        <v>301655.46475137596</v>
      </c>
      <c r="J232">
        <v>6818085.5776340775</v>
      </c>
      <c r="K232" s="68">
        <v>7305206.6539436551</v>
      </c>
    </row>
    <row r="233" spans="1:11" x14ac:dyDescent="0.35">
      <c r="A233">
        <v>233</v>
      </c>
      <c r="B233">
        <v>-2130.9644666629479</v>
      </c>
      <c r="C233">
        <v>-4974.9061302021146</v>
      </c>
      <c r="D233">
        <v>-5798.6802046594967</v>
      </c>
      <c r="E233">
        <v>-6342.4758377383541</v>
      </c>
      <c r="F233">
        <v>-5717.1115756500212</v>
      </c>
      <c r="G233">
        <v>-1942.7012699957613</v>
      </c>
      <c r="H233">
        <v>37293.056413947234</v>
      </c>
      <c r="I233">
        <v>302760.60687269329</v>
      </c>
      <c r="J233">
        <v>6819927.8063592603</v>
      </c>
      <c r="K233" s="68">
        <v>7309045.250575291</v>
      </c>
    </row>
    <row r="234" spans="1:11" x14ac:dyDescent="0.35">
      <c r="A234">
        <v>234</v>
      </c>
      <c r="B234">
        <v>-2123.2537057101727</v>
      </c>
      <c r="C234">
        <v>-4963.3609728285001</v>
      </c>
      <c r="D234">
        <v>-5767.3356561946784</v>
      </c>
      <c r="E234">
        <v>-6321.5698062436877</v>
      </c>
      <c r="F234">
        <v>-5607.1463798230925</v>
      </c>
      <c r="G234">
        <v>-1942.2615720398744</v>
      </c>
      <c r="H234">
        <v>37395.207883060757</v>
      </c>
      <c r="I234">
        <v>303431.78645246173</v>
      </c>
      <c r="J234">
        <v>6820420.8551589185</v>
      </c>
      <c r="K234" s="68">
        <v>7309626.2457574457</v>
      </c>
    </row>
    <row r="235" spans="1:11" x14ac:dyDescent="0.35">
      <c r="A235">
        <v>235</v>
      </c>
      <c r="B235">
        <v>-2090.695534880002</v>
      </c>
      <c r="C235">
        <v>-4957.1666344062014</v>
      </c>
      <c r="D235">
        <v>-5736.0218111703225</v>
      </c>
      <c r="E235">
        <v>-6313.5754772442751</v>
      </c>
      <c r="F235">
        <v>-5575.7340732837429</v>
      </c>
      <c r="G235">
        <v>-1903.2544783904732</v>
      </c>
      <c r="H235">
        <v>37493.066851893476</v>
      </c>
      <c r="I235">
        <v>304369.86827286507</v>
      </c>
      <c r="J235">
        <v>6823533.1768951658</v>
      </c>
      <c r="K235" s="68">
        <v>7310830.769114621</v>
      </c>
    </row>
    <row r="236" spans="1:11" x14ac:dyDescent="0.35">
      <c r="A236">
        <v>236</v>
      </c>
      <c r="B236">
        <v>-2082.1411207619649</v>
      </c>
      <c r="C236">
        <v>-4939.0876742486325</v>
      </c>
      <c r="D236">
        <v>-5720.7276717044542</v>
      </c>
      <c r="E236">
        <v>-6245.6980242297541</v>
      </c>
      <c r="F236">
        <v>-5569.373795370434</v>
      </c>
      <c r="G236">
        <v>-1846.0107231853092</v>
      </c>
      <c r="H236">
        <v>37710.331090951033</v>
      </c>
      <c r="I236">
        <v>304571.46256179066</v>
      </c>
      <c r="J236">
        <v>6824543.2916440899</v>
      </c>
      <c r="K236" s="68">
        <v>7311021.5744786095</v>
      </c>
    </row>
    <row r="237" spans="1:11" x14ac:dyDescent="0.35">
      <c r="A237">
        <v>237</v>
      </c>
      <c r="B237">
        <v>-2078.8079154208285</v>
      </c>
      <c r="C237">
        <v>-4920.0486517555473</v>
      </c>
      <c r="D237">
        <v>-5716.9104995725274</v>
      </c>
      <c r="E237">
        <v>-6179.4402065810564</v>
      </c>
      <c r="F237">
        <v>-5523.1392102276332</v>
      </c>
      <c r="G237">
        <v>-1773.9443540246166</v>
      </c>
      <c r="H237">
        <v>38072.280184852956</v>
      </c>
      <c r="I237">
        <v>305107.93760342407</v>
      </c>
      <c r="J237">
        <v>6824854.6259157527</v>
      </c>
      <c r="K237" s="68">
        <v>7314130.597207576</v>
      </c>
    </row>
    <row r="238" spans="1:11" x14ac:dyDescent="0.35">
      <c r="A238">
        <v>238</v>
      </c>
      <c r="B238">
        <v>-2054.7661889716983</v>
      </c>
      <c r="C238">
        <v>-4882.3931712320255</v>
      </c>
      <c r="D238">
        <v>-5714.6903045115532</v>
      </c>
      <c r="E238">
        <v>-6144.2516758402489</v>
      </c>
      <c r="F238">
        <v>-5414.9271285452724</v>
      </c>
      <c r="G238">
        <v>-1767.1905856151006</v>
      </c>
      <c r="H238">
        <v>38220.855905259792</v>
      </c>
      <c r="I238">
        <v>305337.4365255672</v>
      </c>
      <c r="J238">
        <v>6825396.1475312011</v>
      </c>
      <c r="K238" s="68">
        <v>7316689.7574596442</v>
      </c>
    </row>
    <row r="239" spans="1:11" x14ac:dyDescent="0.35">
      <c r="A239">
        <v>239</v>
      </c>
      <c r="B239">
        <v>-2045.7270025983453</v>
      </c>
      <c r="C239">
        <v>-4881.7528705527593</v>
      </c>
      <c r="D239">
        <v>-5712.755699043495</v>
      </c>
      <c r="E239">
        <v>-6119.8129558895134</v>
      </c>
      <c r="F239">
        <v>-5401.8725348713151</v>
      </c>
      <c r="G239">
        <v>-1744.5291826368862</v>
      </c>
      <c r="H239">
        <v>38285.80343238495</v>
      </c>
      <c r="I239">
        <v>306047.06451717776</v>
      </c>
      <c r="J239">
        <v>6827295.2299007988</v>
      </c>
      <c r="K239" s="68">
        <v>7316700.4527690187</v>
      </c>
    </row>
    <row r="240" spans="1:11" x14ac:dyDescent="0.35">
      <c r="A240">
        <v>240</v>
      </c>
      <c r="B240">
        <v>-1951.2778454200763</v>
      </c>
      <c r="C240">
        <v>-4874.7451135529072</v>
      </c>
      <c r="D240">
        <v>-5584.3331764221639</v>
      </c>
      <c r="E240">
        <v>-6116.4923588475249</v>
      </c>
      <c r="F240">
        <v>-5346.5022014351725</v>
      </c>
      <c r="G240">
        <v>-1646.9299333766116</v>
      </c>
      <c r="H240">
        <v>38317.133216869974</v>
      </c>
      <c r="I240">
        <v>306053.76422982797</v>
      </c>
      <c r="J240">
        <v>6828313.44028976</v>
      </c>
      <c r="K240" s="68">
        <v>7317848.2799388105</v>
      </c>
    </row>
    <row r="241" spans="1:11" x14ac:dyDescent="0.35">
      <c r="A241">
        <v>241</v>
      </c>
      <c r="B241">
        <v>-1950.2700960397833</v>
      </c>
      <c r="C241">
        <v>-4851.4468441565286</v>
      </c>
      <c r="D241">
        <v>-5525.4427220317939</v>
      </c>
      <c r="E241">
        <v>-6070.6580341814088</v>
      </c>
      <c r="F241">
        <v>-5301.0517800593125</v>
      </c>
      <c r="G241">
        <v>-1644.1829100609914</v>
      </c>
      <c r="H241">
        <v>38329.520457411323</v>
      </c>
      <c r="I241">
        <v>307229.85359479405</v>
      </c>
      <c r="J241">
        <v>6828948.115498364</v>
      </c>
      <c r="K241" s="68">
        <v>7320965.3764707809</v>
      </c>
    </row>
    <row r="242" spans="1:11" x14ac:dyDescent="0.35">
      <c r="A242">
        <v>242</v>
      </c>
      <c r="B242">
        <v>-1938.9847936406732</v>
      </c>
      <c r="C242">
        <v>-4784.7867071156288</v>
      </c>
      <c r="D242">
        <v>-5524.5546292676399</v>
      </c>
      <c r="E242">
        <v>-6023.4773215762098</v>
      </c>
      <c r="F242">
        <v>-5295.8669249423001</v>
      </c>
      <c r="G242">
        <v>-1592.2397083706471</v>
      </c>
      <c r="H242">
        <v>38350.221171567617</v>
      </c>
      <c r="I242">
        <v>307311.90721439238</v>
      </c>
      <c r="J242">
        <v>6829069.5386499241</v>
      </c>
      <c r="K242" s="68">
        <v>7326787.5013281833</v>
      </c>
    </row>
    <row r="243" spans="1:11" x14ac:dyDescent="0.35">
      <c r="A243">
        <v>243</v>
      </c>
      <c r="B243">
        <v>-1918.288376222939</v>
      </c>
      <c r="C243">
        <v>-4775.0829033347591</v>
      </c>
      <c r="D243">
        <v>-5521.6048954884345</v>
      </c>
      <c r="E243">
        <v>-6021.9535165258512</v>
      </c>
      <c r="F243">
        <v>-5213.9780638623724</v>
      </c>
      <c r="G243">
        <v>-1548.5287952286408</v>
      </c>
      <c r="H243">
        <v>38694.180456050628</v>
      </c>
      <c r="I243">
        <v>307346.06266686547</v>
      </c>
      <c r="J243">
        <v>6830570.6193124261</v>
      </c>
      <c r="K243" s="68">
        <v>7328035.6256957529</v>
      </c>
    </row>
    <row r="244" spans="1:11" x14ac:dyDescent="0.35">
      <c r="A244">
        <v>244</v>
      </c>
      <c r="B244">
        <v>-1905.6810235167732</v>
      </c>
      <c r="C244">
        <v>-4761.3683523241252</v>
      </c>
      <c r="D244">
        <v>-5508.9629088212214</v>
      </c>
      <c r="E244">
        <v>-5904.4459529183541</v>
      </c>
      <c r="F244">
        <v>-5171.381921734037</v>
      </c>
      <c r="G244">
        <v>-1518.5485111954001</v>
      </c>
      <c r="H244">
        <v>38849.562713475556</v>
      </c>
      <c r="I244">
        <v>308064.94557781867</v>
      </c>
      <c r="J244">
        <v>6831992.9761380199</v>
      </c>
      <c r="K244" s="68">
        <v>7331567.6950130081</v>
      </c>
    </row>
    <row r="245" spans="1:11" x14ac:dyDescent="0.35">
      <c r="A245">
        <v>245</v>
      </c>
      <c r="B245">
        <v>-1902.7225402690087</v>
      </c>
      <c r="C245">
        <v>-4744.7248068538374</v>
      </c>
      <c r="D245">
        <v>-5484.9694106045772</v>
      </c>
      <c r="E245">
        <v>-5889.6279714487737</v>
      </c>
      <c r="F245">
        <v>-5160.286615764262</v>
      </c>
      <c r="G245">
        <v>-1430.6561956831351</v>
      </c>
      <c r="H245">
        <v>38969.156066021191</v>
      </c>
      <c r="I245">
        <v>308416.32686018967</v>
      </c>
      <c r="J245">
        <v>6833092.3768897904</v>
      </c>
      <c r="K245" s="68">
        <v>7332315.1226671599</v>
      </c>
    </row>
    <row r="246" spans="1:11" x14ac:dyDescent="0.35">
      <c r="A246">
        <v>246</v>
      </c>
      <c r="B246">
        <v>-1888.6653032079339</v>
      </c>
      <c r="C246">
        <v>-4735.7612454013497</v>
      </c>
      <c r="D246">
        <v>-5484.9465606660178</v>
      </c>
      <c r="E246">
        <v>-5839.0029619721545</v>
      </c>
      <c r="F246">
        <v>-5149.3421298814037</v>
      </c>
      <c r="G246">
        <v>-1389.9594735510518</v>
      </c>
      <c r="H246">
        <v>39011.150612040779</v>
      </c>
      <c r="I246">
        <v>308512.99169895879</v>
      </c>
      <c r="J246">
        <v>6835622.8527834397</v>
      </c>
      <c r="K246" s="68">
        <v>7335847.887550272</v>
      </c>
    </row>
    <row r="247" spans="1:11" x14ac:dyDescent="0.35">
      <c r="A247">
        <v>247</v>
      </c>
      <c r="B247">
        <v>-1877.8877784321296</v>
      </c>
      <c r="C247">
        <v>-4734.3855359105</v>
      </c>
      <c r="D247">
        <v>-5467.4920434697269</v>
      </c>
      <c r="E247">
        <v>-5831.412856777064</v>
      </c>
      <c r="F247">
        <v>-5106.2078018803313</v>
      </c>
      <c r="G247">
        <v>-1381.3766609298868</v>
      </c>
      <c r="H247">
        <v>39149.506413027324</v>
      </c>
      <c r="I247">
        <v>308660.00657309871</v>
      </c>
      <c r="J247">
        <v>6837948.240492695</v>
      </c>
      <c r="K247" s="68">
        <v>7337916.4257468712</v>
      </c>
    </row>
    <row r="248" spans="1:11" x14ac:dyDescent="0.35">
      <c r="A248">
        <v>248</v>
      </c>
      <c r="B248">
        <v>-1876.5599832468597</v>
      </c>
      <c r="C248">
        <v>-4709.4547667487705</v>
      </c>
      <c r="D248">
        <v>-5416.6509381498054</v>
      </c>
      <c r="E248">
        <v>-5822.9348421729546</v>
      </c>
      <c r="F248">
        <v>-5104.5606070700869</v>
      </c>
      <c r="G248">
        <v>-1307.4296944521639</v>
      </c>
      <c r="H248">
        <v>39415.804482516978</v>
      </c>
      <c r="I248">
        <v>308850.17773372564</v>
      </c>
      <c r="J248">
        <v>6842012.9482396189</v>
      </c>
      <c r="K248" s="68">
        <v>7340573.776533409</v>
      </c>
    </row>
    <row r="249" spans="1:11" x14ac:dyDescent="0.35">
      <c r="A249">
        <v>249</v>
      </c>
      <c r="B249">
        <v>-1876.1190465461602</v>
      </c>
      <c r="C249">
        <v>-4698.7435731758114</v>
      </c>
      <c r="D249">
        <v>-5391.2185586551295</v>
      </c>
      <c r="E249">
        <v>-5711.9480822317864</v>
      </c>
      <c r="F249">
        <v>-4998.3432159051599</v>
      </c>
      <c r="G249">
        <v>-1264.5190197561194</v>
      </c>
      <c r="H249">
        <v>39565.012631937112</v>
      </c>
      <c r="I249">
        <v>309108.6136768366</v>
      </c>
      <c r="J249">
        <v>6844621.7234742306</v>
      </c>
      <c r="K249" s="68">
        <v>7340814.6145632081</v>
      </c>
    </row>
    <row r="250" spans="1:11" x14ac:dyDescent="0.35">
      <c r="A250">
        <v>250</v>
      </c>
      <c r="B250">
        <v>-1864.0460754130222</v>
      </c>
      <c r="C250">
        <v>-4654.967342630247</v>
      </c>
      <c r="D250">
        <v>-5373.924991453835</v>
      </c>
      <c r="E250">
        <v>-5670.7067598357507</v>
      </c>
      <c r="F250">
        <v>-4973.7736850188585</v>
      </c>
      <c r="G250">
        <v>-1257.454976511385</v>
      </c>
      <c r="H250">
        <v>39622.735416951444</v>
      </c>
      <c r="I250">
        <v>309121.23650927242</v>
      </c>
      <c r="J250">
        <v>6846869.7543418948</v>
      </c>
      <c r="K250" s="68">
        <v>7341362.8157021506</v>
      </c>
    </row>
    <row r="251" spans="1:11" x14ac:dyDescent="0.35">
      <c r="A251">
        <v>251</v>
      </c>
      <c r="B251">
        <v>-1853.2831792756915</v>
      </c>
      <c r="C251">
        <v>-4641.2333874858296</v>
      </c>
      <c r="D251">
        <v>-5300.8833164141834</v>
      </c>
      <c r="E251">
        <v>-5587.1429066199853</v>
      </c>
      <c r="F251">
        <v>-4972.2385302090088</v>
      </c>
      <c r="G251">
        <v>-1086.0821765658857</v>
      </c>
      <c r="H251">
        <v>39655.326637229751</v>
      </c>
      <c r="I251">
        <v>309292.45318859589</v>
      </c>
      <c r="J251">
        <v>6847269.691061642</v>
      </c>
      <c r="K251" s="68">
        <v>7341533.915811941</v>
      </c>
    </row>
    <row r="252" spans="1:11" x14ac:dyDescent="0.35">
      <c r="A252">
        <v>252</v>
      </c>
      <c r="B252">
        <v>-1815.834411584417</v>
      </c>
      <c r="C252">
        <v>-4641.2101885116854</v>
      </c>
      <c r="D252">
        <v>-5260.1881940903713</v>
      </c>
      <c r="E252">
        <v>-5585.5245387137156</v>
      </c>
      <c r="F252">
        <v>-4967.7753536278469</v>
      </c>
      <c r="G252">
        <v>-1086.0417091022618</v>
      </c>
      <c r="H252">
        <v>39716.730365970368</v>
      </c>
      <c r="I252">
        <v>309437.74840883905</v>
      </c>
      <c r="J252">
        <v>6848406.6387154767</v>
      </c>
      <c r="K252" s="68">
        <v>7343268.3108662516</v>
      </c>
    </row>
    <row r="253" spans="1:11" x14ac:dyDescent="0.35">
      <c r="A253">
        <v>253</v>
      </c>
      <c r="B253">
        <v>-1795.37529115498</v>
      </c>
      <c r="C253">
        <v>-4615.4921155114598</v>
      </c>
      <c r="D253">
        <v>-5235.3459456068204</v>
      </c>
      <c r="E253">
        <v>-5546.8045199995504</v>
      </c>
      <c r="F253">
        <v>-4948.6647014587552</v>
      </c>
      <c r="G253">
        <v>-1051.790551235561</v>
      </c>
      <c r="H253">
        <v>39796.463050356491</v>
      </c>
      <c r="I253">
        <v>309625.27896050666</v>
      </c>
      <c r="J253">
        <v>6848522.5795487482</v>
      </c>
      <c r="K253" s="68">
        <v>7344111.5272504138</v>
      </c>
    </row>
    <row r="254" spans="1:11" x14ac:dyDescent="0.35">
      <c r="A254">
        <v>254</v>
      </c>
      <c r="B254">
        <v>-1772.498676405821</v>
      </c>
      <c r="C254">
        <v>-4551.4756621633232</v>
      </c>
      <c r="D254">
        <v>-5197.8821926153223</v>
      </c>
      <c r="E254">
        <v>-5423.6766802390648</v>
      </c>
      <c r="F254">
        <v>-4896.1167503499673</v>
      </c>
      <c r="G254">
        <v>-1033.9694353485502</v>
      </c>
      <c r="H254">
        <v>39857.130667628895</v>
      </c>
      <c r="I254">
        <v>309765.32635570515</v>
      </c>
      <c r="J254">
        <v>6848715.5277185105</v>
      </c>
      <c r="K254" s="68">
        <v>7346052.5227674963</v>
      </c>
    </row>
    <row r="255" spans="1:11" x14ac:dyDescent="0.35">
      <c r="A255">
        <v>255</v>
      </c>
      <c r="B255">
        <v>-1592.0222442880927</v>
      </c>
      <c r="C255">
        <v>-4490.8449178674491</v>
      </c>
      <c r="D255">
        <v>-5176.7361014597745</v>
      </c>
      <c r="E255">
        <v>-5410.8566131412135</v>
      </c>
      <c r="F255">
        <v>-4870.3466314953876</v>
      </c>
      <c r="G255">
        <v>-1016.9644319873393</v>
      </c>
      <c r="H255">
        <v>39872.655981892036</v>
      </c>
      <c r="I255">
        <v>309850.78562642413</v>
      </c>
      <c r="J255">
        <v>6849809.3580432944</v>
      </c>
      <c r="K255" s="68">
        <v>7347251.7844788115</v>
      </c>
    </row>
    <row r="256" spans="1:11" x14ac:dyDescent="0.35">
      <c r="A256">
        <v>256</v>
      </c>
      <c r="B256">
        <v>-1468.534291670866</v>
      </c>
      <c r="C256">
        <v>-4486.0487833916268</v>
      </c>
      <c r="D256">
        <v>-5156.0115927513971</v>
      </c>
      <c r="E256">
        <v>-5378.8656428716567</v>
      </c>
      <c r="F256">
        <v>-4771.9079926382001</v>
      </c>
      <c r="G256">
        <v>-1006.4098015356658</v>
      </c>
      <c r="H256">
        <v>40046.444211421192</v>
      </c>
      <c r="I256">
        <v>310298.65543419548</v>
      </c>
      <c r="J256">
        <v>6851902.8997994764</v>
      </c>
      <c r="K256" s="68">
        <v>7347317.313105979</v>
      </c>
    </row>
    <row r="257" spans="1:11" x14ac:dyDescent="0.35">
      <c r="A257">
        <v>257</v>
      </c>
      <c r="B257">
        <v>-1447.5807214231945</v>
      </c>
      <c r="C257">
        <v>-4413.4826171921968</v>
      </c>
      <c r="D257">
        <v>-5153.5745771387437</v>
      </c>
      <c r="E257">
        <v>-5370.3258012942606</v>
      </c>
      <c r="F257">
        <v>-4741.6909007363374</v>
      </c>
      <c r="G257">
        <v>-925.81643858322627</v>
      </c>
      <c r="H257">
        <v>40049.941837645587</v>
      </c>
      <c r="I257">
        <v>310371.89404879202</v>
      </c>
      <c r="J257">
        <v>6858223.6898961365</v>
      </c>
      <c r="K257" s="68">
        <v>7351522.5172798773</v>
      </c>
    </row>
    <row r="258" spans="1:11" x14ac:dyDescent="0.35">
      <c r="A258">
        <v>258</v>
      </c>
      <c r="B258">
        <v>-1295.7767482636946</v>
      </c>
      <c r="C258">
        <v>-4374.6204756716525</v>
      </c>
      <c r="D258">
        <v>-5152.3153754405266</v>
      </c>
      <c r="E258">
        <v>-5339.5745448458119</v>
      </c>
      <c r="F258">
        <v>-4683.2530396402035</v>
      </c>
      <c r="G258">
        <v>-879.65564075279053</v>
      </c>
      <c r="H258">
        <v>40085.907619163052</v>
      </c>
      <c r="I258">
        <v>310408.7232072957</v>
      </c>
      <c r="J258">
        <v>6859280.344971274</v>
      </c>
      <c r="K258" s="68">
        <v>7352101.2114525139</v>
      </c>
    </row>
    <row r="259" spans="1:11" x14ac:dyDescent="0.35">
      <c r="A259">
        <v>259</v>
      </c>
      <c r="B259">
        <v>-1256.7859339803363</v>
      </c>
      <c r="C259">
        <v>-4351.3987985289314</v>
      </c>
      <c r="D259">
        <v>-5136.8806050419425</v>
      </c>
      <c r="E259">
        <v>-5301.2634260701361</v>
      </c>
      <c r="F259">
        <v>-4677.4461652770688</v>
      </c>
      <c r="G259">
        <v>-868.71488292375852</v>
      </c>
      <c r="H259">
        <v>40133.447392742171</v>
      </c>
      <c r="I259">
        <v>311428.46935810382</v>
      </c>
      <c r="J259">
        <v>6860874.1006243574</v>
      </c>
      <c r="K259" s="68">
        <v>7355401.44422061</v>
      </c>
    </row>
    <row r="260" spans="1:11" x14ac:dyDescent="0.35">
      <c r="A260">
        <v>260</v>
      </c>
      <c r="B260">
        <v>-962.94047861917079</v>
      </c>
      <c r="C260">
        <v>-4259.6495534202641</v>
      </c>
      <c r="D260">
        <v>-5125.8749372619186</v>
      </c>
      <c r="E260">
        <v>-5301.0011704313602</v>
      </c>
      <c r="F260">
        <v>-4661.1986019355918</v>
      </c>
      <c r="G260">
        <v>-791.64971594543658</v>
      </c>
      <c r="H260">
        <v>40284.144486781806</v>
      </c>
      <c r="I260">
        <v>311514.53636168694</v>
      </c>
      <c r="J260">
        <v>6861544.5711455075</v>
      </c>
      <c r="K260" s="68">
        <v>7356693.7622516053</v>
      </c>
    </row>
    <row r="261" spans="1:11" x14ac:dyDescent="0.35">
      <c r="A261">
        <v>261</v>
      </c>
      <c r="B261">
        <v>-616.62533028403323</v>
      </c>
      <c r="C261">
        <v>-4259.340180361839</v>
      </c>
      <c r="D261">
        <v>-5123.0020686516164</v>
      </c>
      <c r="E261">
        <v>-5280.3730067080814</v>
      </c>
      <c r="F261">
        <v>-4644.372953381654</v>
      </c>
      <c r="G261">
        <v>-625.11622099968247</v>
      </c>
      <c r="H261">
        <v>40307.90577664251</v>
      </c>
      <c r="I261">
        <v>311548.8531452067</v>
      </c>
      <c r="J261">
        <v>6862859.0926881023</v>
      </c>
      <c r="K261" s="68">
        <v>7357252.3152858932</v>
      </c>
    </row>
    <row r="262" spans="1:11" x14ac:dyDescent="0.35">
      <c r="A262">
        <v>262</v>
      </c>
      <c r="B262">
        <v>-494.6031000628322</v>
      </c>
      <c r="C262">
        <v>-4188.2489756529631</v>
      </c>
      <c r="D262">
        <v>-5097.7296832853181</v>
      </c>
      <c r="E262">
        <v>-5265.3138212801505</v>
      </c>
      <c r="F262">
        <v>-4631.7347746725791</v>
      </c>
      <c r="G262">
        <v>-544.93669009486166</v>
      </c>
      <c r="H262">
        <v>40410.495627034732</v>
      </c>
      <c r="I262">
        <v>311827.69600645843</v>
      </c>
      <c r="J262">
        <v>6867844.2398006702</v>
      </c>
      <c r="K262" s="68">
        <v>7358603.4333056463</v>
      </c>
    </row>
    <row r="263" spans="1:11" x14ac:dyDescent="0.35">
      <c r="A263">
        <v>263</v>
      </c>
      <c r="B263">
        <v>-487.85836090100247</v>
      </c>
      <c r="C263">
        <v>-4111.2082550273435</v>
      </c>
      <c r="D263">
        <v>-5096.3817076486512</v>
      </c>
      <c r="E263">
        <v>-5251.5437501381402</v>
      </c>
      <c r="F263">
        <v>-4619.6289096380733</v>
      </c>
      <c r="G263">
        <v>-543.96183989317524</v>
      </c>
      <c r="H263">
        <v>40419.968449456879</v>
      </c>
      <c r="I263">
        <v>311907.04848555231</v>
      </c>
      <c r="J263">
        <v>6874591.7766606649</v>
      </c>
      <c r="K263" s="68">
        <v>7359693.1658406835</v>
      </c>
    </row>
    <row r="264" spans="1:11" x14ac:dyDescent="0.35">
      <c r="A264">
        <v>264</v>
      </c>
      <c r="B264">
        <v>-483.57356244176361</v>
      </c>
      <c r="C264">
        <v>-4108.6614221496984</v>
      </c>
      <c r="D264">
        <v>-5085.8419217137334</v>
      </c>
      <c r="E264">
        <v>-5233.0271289404254</v>
      </c>
      <c r="F264">
        <v>-4616.5464967941271</v>
      </c>
      <c r="G264">
        <v>-539.90412333248321</v>
      </c>
      <c r="H264">
        <v>40754.804714906335</v>
      </c>
      <c r="I264">
        <v>312007.38857465691</v>
      </c>
      <c r="J264">
        <v>6876534.6121495208</v>
      </c>
      <c r="K264" s="68">
        <v>7365129.6172508458</v>
      </c>
    </row>
    <row r="265" spans="1:11" x14ac:dyDescent="0.35">
      <c r="A265">
        <v>265</v>
      </c>
      <c r="B265">
        <v>-481.30888072401285</v>
      </c>
      <c r="C265">
        <v>-4094.5310918922705</v>
      </c>
      <c r="D265">
        <v>-5028.1381681910088</v>
      </c>
      <c r="E265">
        <v>-5227.3767079040081</v>
      </c>
      <c r="F265">
        <v>-4614.4794028581537</v>
      </c>
      <c r="G265">
        <v>-508.11752258811782</v>
      </c>
      <c r="H265">
        <v>40935.500838281412</v>
      </c>
      <c r="I265">
        <v>312122.96954460308</v>
      </c>
      <c r="J265">
        <v>6879091.4460447077</v>
      </c>
      <c r="K265" s="68">
        <v>7365272.2127642194</v>
      </c>
    </row>
    <row r="266" spans="1:11" x14ac:dyDescent="0.35">
      <c r="A266">
        <v>266</v>
      </c>
      <c r="B266">
        <v>-481.24311321228743</v>
      </c>
      <c r="C266">
        <v>-3995.9031514883859</v>
      </c>
      <c r="D266">
        <v>-5016.5881020155202</v>
      </c>
      <c r="E266">
        <v>-5220.5359284105616</v>
      </c>
      <c r="F266">
        <v>-4553.5766775748525</v>
      </c>
      <c r="G266">
        <v>-493.07796058265171</v>
      </c>
      <c r="H266">
        <v>41010.994569624432</v>
      </c>
      <c r="I266">
        <v>312144.70650095702</v>
      </c>
      <c r="J266">
        <v>6881431.4727249295</v>
      </c>
      <c r="K266" s="68">
        <v>7370402.607131144</v>
      </c>
    </row>
    <row r="267" spans="1:11" x14ac:dyDescent="0.35">
      <c r="A267">
        <v>267</v>
      </c>
      <c r="B267">
        <v>-480.05032520741224</v>
      </c>
      <c r="C267">
        <v>-3963.9143558112073</v>
      </c>
      <c r="D267">
        <v>-4913.3243943198686</v>
      </c>
      <c r="E267">
        <v>-5196.3011703791835</v>
      </c>
      <c r="F267">
        <v>-4424.2424345680683</v>
      </c>
      <c r="G267">
        <v>-404.12462118123858</v>
      </c>
      <c r="H267">
        <v>41159.399175925944</v>
      </c>
      <c r="I267">
        <v>312170.86920280632</v>
      </c>
      <c r="J267">
        <v>6883536.6646020822</v>
      </c>
      <c r="K267" s="68">
        <v>7372072.9698182736</v>
      </c>
    </row>
    <row r="268" spans="1:11" x14ac:dyDescent="0.35">
      <c r="A268">
        <v>268</v>
      </c>
      <c r="B268">
        <v>-477.71219999343157</v>
      </c>
      <c r="C268">
        <v>-3893.7142348303892</v>
      </c>
      <c r="D268">
        <v>-4900.156022731212</v>
      </c>
      <c r="E268">
        <v>-5190.4972087327969</v>
      </c>
      <c r="F268">
        <v>-4417.718859548313</v>
      </c>
      <c r="G268">
        <v>-279.29366377862436</v>
      </c>
      <c r="H268">
        <v>41519.249826334468</v>
      </c>
      <c r="I268">
        <v>312518.28284173732</v>
      </c>
      <c r="J268">
        <v>6884116.0289250053</v>
      </c>
      <c r="K268" s="68">
        <v>7373797.1110302424</v>
      </c>
    </row>
    <row r="269" spans="1:11" x14ac:dyDescent="0.35">
      <c r="A269">
        <v>269</v>
      </c>
      <c r="B269">
        <v>-477.68739165701578</v>
      </c>
      <c r="C269">
        <v>-3886.6352243123752</v>
      </c>
      <c r="D269">
        <v>-4883.4046793332045</v>
      </c>
      <c r="E269">
        <v>-5186.9832972651702</v>
      </c>
      <c r="F269">
        <v>-4414.2391046333842</v>
      </c>
      <c r="G269">
        <v>-137.36503798466038</v>
      </c>
      <c r="H269">
        <v>41552.949778749644</v>
      </c>
      <c r="I269">
        <v>312594.95382310438</v>
      </c>
      <c r="J269">
        <v>6884423.4845180251</v>
      </c>
      <c r="K269" s="68">
        <v>7377097.5294906637</v>
      </c>
    </row>
    <row r="270" spans="1:11" x14ac:dyDescent="0.35">
      <c r="A270">
        <v>270</v>
      </c>
      <c r="B270">
        <v>-476.14025507122278</v>
      </c>
      <c r="C270">
        <v>-3873.2353314105026</v>
      </c>
      <c r="D270">
        <v>-4882.06468334076</v>
      </c>
      <c r="E270">
        <v>-5162.8023049752683</v>
      </c>
      <c r="F270">
        <v>-4411.4556915136154</v>
      </c>
      <c r="G270">
        <v>-113.44229327698486</v>
      </c>
      <c r="H270">
        <v>41560.853563989367</v>
      </c>
      <c r="I270">
        <v>313070.30815144879</v>
      </c>
      <c r="J270">
        <v>6885472.0415795567</v>
      </c>
      <c r="K270" s="68">
        <v>7379052.9976386996</v>
      </c>
    </row>
    <row r="271" spans="1:11" x14ac:dyDescent="0.35">
      <c r="A271">
        <v>271</v>
      </c>
      <c r="B271">
        <v>-475.0319500118494</v>
      </c>
      <c r="C271">
        <v>-3824.9375295075392</v>
      </c>
      <c r="D271">
        <v>-4877.2010228634654</v>
      </c>
      <c r="E271">
        <v>-5144.541860397605</v>
      </c>
      <c r="F271">
        <v>-4390.5095874188191</v>
      </c>
      <c r="G271">
        <v>2.2129704033206616</v>
      </c>
      <c r="H271">
        <v>41616.056661793795</v>
      </c>
      <c r="I271">
        <v>313455.0353238199</v>
      </c>
      <c r="J271">
        <v>6891524.0830978379</v>
      </c>
      <c r="K271" s="68">
        <v>7380383.2961264644</v>
      </c>
    </row>
    <row r="272" spans="1:11" x14ac:dyDescent="0.35">
      <c r="A272">
        <v>272</v>
      </c>
      <c r="B272">
        <v>-473.15683069239412</v>
      </c>
      <c r="C272">
        <v>-3803.1147875921329</v>
      </c>
      <c r="D272">
        <v>-4861.3114331941206</v>
      </c>
      <c r="E272">
        <v>-5138.3905377980973</v>
      </c>
      <c r="F272">
        <v>-4359.2304451157497</v>
      </c>
      <c r="G272">
        <v>25.279239999974379</v>
      </c>
      <c r="H272">
        <v>41673.94638089143</v>
      </c>
      <c r="I272">
        <v>313588.98837562901</v>
      </c>
      <c r="J272">
        <v>6891975.0017418014</v>
      </c>
      <c r="K272" s="68">
        <v>7384075.2241618354</v>
      </c>
    </row>
    <row r="273" spans="1:11" x14ac:dyDescent="0.35">
      <c r="A273">
        <v>273</v>
      </c>
      <c r="B273">
        <v>-470.53411710253062</v>
      </c>
      <c r="C273">
        <v>-3774.9896635054038</v>
      </c>
      <c r="D273">
        <v>-4821.3865435163634</v>
      </c>
      <c r="E273">
        <v>-5077.9310712846036</v>
      </c>
      <c r="F273">
        <v>-4339.4679199405437</v>
      </c>
      <c r="G273">
        <v>37.181581706692668</v>
      </c>
      <c r="H273">
        <v>41684.151602217215</v>
      </c>
      <c r="I273">
        <v>313815.2077386406</v>
      </c>
      <c r="J273">
        <v>6892830.7326357802</v>
      </c>
      <c r="K273" s="68">
        <v>7385527.9628042411</v>
      </c>
    </row>
    <row r="274" spans="1:11" x14ac:dyDescent="0.35">
      <c r="A274">
        <v>274</v>
      </c>
      <c r="B274">
        <v>-470.26065249741077</v>
      </c>
      <c r="C274">
        <v>-3774.0181006358034</v>
      </c>
      <c r="D274">
        <v>-4816.9844072818587</v>
      </c>
      <c r="E274">
        <v>-5066.5752358904492</v>
      </c>
      <c r="F274">
        <v>-4312.4874211731403</v>
      </c>
      <c r="G274">
        <v>56.690680852666851</v>
      </c>
      <c r="H274">
        <v>41925.62838014459</v>
      </c>
      <c r="I274">
        <v>314069.80544679041</v>
      </c>
      <c r="J274">
        <v>6894566.3732246459</v>
      </c>
      <c r="K274" s="68">
        <v>7385618.4594586007</v>
      </c>
    </row>
    <row r="275" spans="1:11" x14ac:dyDescent="0.35">
      <c r="A275">
        <v>275</v>
      </c>
      <c r="B275">
        <v>-469.64608456194401</v>
      </c>
      <c r="C275">
        <v>-3770.1520582182561</v>
      </c>
      <c r="D275">
        <v>-4758.7129963474727</v>
      </c>
      <c r="E275">
        <v>-5032.0630525193137</v>
      </c>
      <c r="F275">
        <v>-4281.482652622818</v>
      </c>
      <c r="G275">
        <v>135.12123324982983</v>
      </c>
      <c r="H275">
        <v>42061.114949871022</v>
      </c>
      <c r="I275">
        <v>314144.22634856997</v>
      </c>
      <c r="J275">
        <v>6894836.9465624318</v>
      </c>
      <c r="K275" s="68">
        <v>7387046.369841883</v>
      </c>
    </row>
    <row r="276" spans="1:11" x14ac:dyDescent="0.35">
      <c r="A276">
        <v>276</v>
      </c>
      <c r="B276">
        <v>-468.93685928732157</v>
      </c>
      <c r="C276">
        <v>-3757.835989634877</v>
      </c>
      <c r="D276">
        <v>-4697.651478281603</v>
      </c>
      <c r="E276">
        <v>-5006.3941763953035</v>
      </c>
      <c r="F276">
        <v>-4273.1973948824962</v>
      </c>
      <c r="G276">
        <v>161.38955273531428</v>
      </c>
      <c r="H276">
        <v>42095.578570373254</v>
      </c>
      <c r="I276">
        <v>314157.3381972494</v>
      </c>
      <c r="J276">
        <v>6895080.0408644164</v>
      </c>
      <c r="K276" s="68">
        <v>7387279.2186930515</v>
      </c>
    </row>
    <row r="277" spans="1:11" x14ac:dyDescent="0.35">
      <c r="A277">
        <v>277</v>
      </c>
      <c r="B277">
        <v>-468.48084497451782</v>
      </c>
      <c r="C277">
        <v>-3747.7208311854247</v>
      </c>
      <c r="D277">
        <v>-4641.0573918781192</v>
      </c>
      <c r="E277">
        <v>-4960.0724311923532</v>
      </c>
      <c r="F277">
        <v>-4241.1414601624592</v>
      </c>
      <c r="G277">
        <v>163.26732220245731</v>
      </c>
      <c r="H277">
        <v>42097.852942044323</v>
      </c>
      <c r="I277">
        <v>314528.97618017858</v>
      </c>
      <c r="J277">
        <v>6897213.1912357658</v>
      </c>
      <c r="K277" s="68">
        <v>7390450.5920551084</v>
      </c>
    </row>
    <row r="278" spans="1:11" x14ac:dyDescent="0.35">
      <c r="A278">
        <v>278</v>
      </c>
      <c r="B278">
        <v>-464.3082789107084</v>
      </c>
      <c r="C278">
        <v>-3733.1832603749745</v>
      </c>
      <c r="D278">
        <v>-4609.344330221862</v>
      </c>
      <c r="E278">
        <v>-4941.6948400827423</v>
      </c>
      <c r="F278">
        <v>-4236.3329822789319</v>
      </c>
      <c r="G278">
        <v>165.48944763834152</v>
      </c>
      <c r="H278">
        <v>42114.430704012797</v>
      </c>
      <c r="I278">
        <v>314760.59049276123</v>
      </c>
      <c r="J278">
        <v>6897934.2080874331</v>
      </c>
      <c r="K278" s="68">
        <v>7391586.6930427421</v>
      </c>
    </row>
    <row r="279" spans="1:11" x14ac:dyDescent="0.35">
      <c r="A279">
        <v>279</v>
      </c>
      <c r="B279">
        <v>-464.0891884714365</v>
      </c>
      <c r="C279">
        <v>-3709.9820697269452</v>
      </c>
      <c r="D279">
        <v>-4600.8659426339073</v>
      </c>
      <c r="E279">
        <v>-4857.6251208216836</v>
      </c>
      <c r="F279">
        <v>-4095.6542583579389</v>
      </c>
      <c r="G279">
        <v>207.91975449813128</v>
      </c>
      <c r="H279">
        <v>42376.364687149398</v>
      </c>
      <c r="I279">
        <v>314978.47918246471</v>
      </c>
      <c r="J279">
        <v>6902075.4956497615</v>
      </c>
      <c r="K279" s="68">
        <v>7392508.0254771654</v>
      </c>
    </row>
    <row r="280" spans="1:11" x14ac:dyDescent="0.35">
      <c r="A280">
        <v>280</v>
      </c>
      <c r="B280">
        <v>-460.79343488067389</v>
      </c>
      <c r="C280">
        <v>-3675.1834977494168</v>
      </c>
      <c r="D280">
        <v>-4591.2607468426668</v>
      </c>
      <c r="E280">
        <v>-4796.5439343672797</v>
      </c>
      <c r="F280">
        <v>-4081.7270091667669</v>
      </c>
      <c r="G280">
        <v>214.03588156353842</v>
      </c>
      <c r="H280">
        <v>42505.570003783658</v>
      </c>
      <c r="I280">
        <v>314978.53527892911</v>
      </c>
      <c r="J280">
        <v>6902487.3112151846</v>
      </c>
      <c r="K280" s="68">
        <v>7393902.5621491577</v>
      </c>
    </row>
    <row r="281" spans="1:11" x14ac:dyDescent="0.35">
      <c r="A281">
        <v>281</v>
      </c>
      <c r="B281">
        <v>-457.35805989774889</v>
      </c>
      <c r="C281">
        <v>-3654.3931288741951</v>
      </c>
      <c r="D281">
        <v>-4528.571575249689</v>
      </c>
      <c r="E281">
        <v>-4744.924272667301</v>
      </c>
      <c r="F281">
        <v>-4073.2949375657699</v>
      </c>
      <c r="G281">
        <v>232.75311552635048</v>
      </c>
      <c r="H281">
        <v>42581.817783003273</v>
      </c>
      <c r="I281">
        <v>315496.26202261902</v>
      </c>
      <c r="J281">
        <v>6905409.4090727605</v>
      </c>
      <c r="K281" s="68">
        <v>7393955.769487517</v>
      </c>
    </row>
    <row r="282" spans="1:11" x14ac:dyDescent="0.35">
      <c r="A282">
        <v>282</v>
      </c>
      <c r="B282">
        <v>-448.99419343471527</v>
      </c>
      <c r="C282">
        <v>-3596.0016124580961</v>
      </c>
      <c r="D282">
        <v>-4449.4124081604823</v>
      </c>
      <c r="E282">
        <v>-4744.1151917158122</v>
      </c>
      <c r="F282">
        <v>-4046.4554640904898</v>
      </c>
      <c r="G282">
        <v>235.43576129026724</v>
      </c>
      <c r="H282">
        <v>42773.461817799034</v>
      </c>
      <c r="I282">
        <v>315753.75648733519</v>
      </c>
      <c r="J282">
        <v>6908071.3984346539</v>
      </c>
      <c r="K282" s="68">
        <v>7395131.6201585066</v>
      </c>
    </row>
    <row r="283" spans="1:11" x14ac:dyDescent="0.35">
      <c r="A283">
        <v>283</v>
      </c>
      <c r="B283">
        <v>-234.66029015466938</v>
      </c>
      <c r="C283">
        <v>-3595.0104831827639</v>
      </c>
      <c r="D283">
        <v>-4434.9496728777958</v>
      </c>
      <c r="E283">
        <v>-4741.2990622874495</v>
      </c>
      <c r="F283">
        <v>-4034.3662121143793</v>
      </c>
      <c r="G283">
        <v>277.06460447915231</v>
      </c>
      <c r="H283">
        <v>42907.051358576246</v>
      </c>
      <c r="I283">
        <v>316031.66155006335</v>
      </c>
      <c r="J283">
        <v>6908792.7118566642</v>
      </c>
      <c r="K283" s="68">
        <v>7396566.3282313235</v>
      </c>
    </row>
    <row r="284" spans="1:11" x14ac:dyDescent="0.35">
      <c r="A284">
        <v>284</v>
      </c>
      <c r="B284">
        <v>-145.60823810100555</v>
      </c>
      <c r="C284">
        <v>-3589.7960887458421</v>
      </c>
      <c r="D284">
        <v>-4418.456392273135</v>
      </c>
      <c r="E284">
        <v>-4725.8708504077113</v>
      </c>
      <c r="F284">
        <v>-3998.4193267128194</v>
      </c>
      <c r="G284">
        <v>277.79508149331997</v>
      </c>
      <c r="H284">
        <v>43088.590167441704</v>
      </c>
      <c r="I284">
        <v>316378.29034078732</v>
      </c>
      <c r="J284">
        <v>6909040.4320189664</v>
      </c>
      <c r="K284" s="68">
        <v>7400504.261750997</v>
      </c>
    </row>
    <row r="285" spans="1:11" x14ac:dyDescent="0.35">
      <c r="A285">
        <v>285</v>
      </c>
      <c r="B285">
        <v>-143.15831497311592</v>
      </c>
      <c r="C285">
        <v>-3586.556793520178</v>
      </c>
      <c r="D285">
        <v>-4412.3571733877852</v>
      </c>
      <c r="E285">
        <v>-4721.6785809678213</v>
      </c>
      <c r="F285">
        <v>-3895.6179665959544</v>
      </c>
      <c r="G285">
        <v>285.35381830583657</v>
      </c>
      <c r="H285">
        <v>43092.556564250022</v>
      </c>
      <c r="I285">
        <v>316533.75780490902</v>
      </c>
      <c r="J285">
        <v>6909775.576167088</v>
      </c>
      <c r="K285" s="68">
        <v>7404972.4773166198</v>
      </c>
    </row>
    <row r="286" spans="1:11" x14ac:dyDescent="0.35">
      <c r="A286">
        <v>286</v>
      </c>
      <c r="B286">
        <v>-142.58871898055077</v>
      </c>
      <c r="C286">
        <v>-3585.2635659002208</v>
      </c>
      <c r="D286">
        <v>-4337.9812551798841</v>
      </c>
      <c r="E286">
        <v>-4680.7450516257213</v>
      </c>
      <c r="F286">
        <v>-3856.7614512171158</v>
      </c>
      <c r="G286">
        <v>302.94573858588933</v>
      </c>
      <c r="H286">
        <v>43245.833769562894</v>
      </c>
      <c r="I286">
        <v>316552.23520043987</v>
      </c>
      <c r="J286">
        <v>6909963.9127746718</v>
      </c>
      <c r="K286" s="68">
        <v>7406164.5786598548</v>
      </c>
    </row>
    <row r="287" spans="1:11" x14ac:dyDescent="0.35">
      <c r="A287">
        <v>287</v>
      </c>
      <c r="B287">
        <v>-141.02853449434042</v>
      </c>
      <c r="C287">
        <v>-3584.3997028366239</v>
      </c>
      <c r="D287">
        <v>-4329.0399292047832</v>
      </c>
      <c r="E287">
        <v>-4603.7061583013592</v>
      </c>
      <c r="F287">
        <v>-3850.0176669988828</v>
      </c>
      <c r="G287">
        <v>329.08971767507273</v>
      </c>
      <c r="H287">
        <v>43387.709890200465</v>
      </c>
      <c r="I287">
        <v>316579.3705199518</v>
      </c>
      <c r="J287">
        <v>6911962.1804960193</v>
      </c>
      <c r="K287" s="68">
        <v>7409709.0933483923</v>
      </c>
    </row>
    <row r="288" spans="1:11" x14ac:dyDescent="0.35">
      <c r="A288">
        <v>288</v>
      </c>
      <c r="B288">
        <v>-140.29894513636827</v>
      </c>
      <c r="C288">
        <v>-3581.8704760024498</v>
      </c>
      <c r="D288">
        <v>-4320.1609747884959</v>
      </c>
      <c r="E288">
        <v>-4553.1444958576903</v>
      </c>
      <c r="F288">
        <v>-3779.7249043663833</v>
      </c>
      <c r="G288">
        <v>412.06239693859357</v>
      </c>
      <c r="H288">
        <v>43463.206795554426</v>
      </c>
      <c r="I288">
        <v>316779.96555759554</v>
      </c>
      <c r="J288">
        <v>6912420.1767527172</v>
      </c>
      <c r="K288" s="68">
        <v>7410454.3995712688</v>
      </c>
    </row>
    <row r="289" spans="1:11" x14ac:dyDescent="0.35">
      <c r="A289">
        <v>289</v>
      </c>
      <c r="B289">
        <v>-139.33188524097204</v>
      </c>
      <c r="C289">
        <v>-3533.964143815846</v>
      </c>
      <c r="D289">
        <v>-4299.0256463118176</v>
      </c>
      <c r="E289">
        <v>-4531.2773622351469</v>
      </c>
      <c r="F289">
        <v>-3687.3544725136298</v>
      </c>
      <c r="G289">
        <v>440.30245405234382</v>
      </c>
      <c r="H289">
        <v>43541.484252777096</v>
      </c>
      <c r="I289">
        <v>317002.67685868382</v>
      </c>
      <c r="J289">
        <v>6913717.616983681</v>
      </c>
      <c r="K289" s="68">
        <v>7411807.7279651156</v>
      </c>
    </row>
    <row r="290" spans="1:11" x14ac:dyDescent="0.35">
      <c r="A290">
        <v>290</v>
      </c>
      <c r="B290">
        <v>-138.88183018565178</v>
      </c>
      <c r="C290">
        <v>-3526.4792786302669</v>
      </c>
      <c r="D290">
        <v>-4221.1477648520522</v>
      </c>
      <c r="E290">
        <v>-4528.4614881953703</v>
      </c>
      <c r="F290">
        <v>-3671.1879381722538</v>
      </c>
      <c r="G290">
        <v>479.47334671797262</v>
      </c>
      <c r="H290">
        <v>43675.411607078539</v>
      </c>
      <c r="I290">
        <v>317337.41311731987</v>
      </c>
      <c r="J290">
        <v>6915463.1237550965</v>
      </c>
      <c r="K290" s="68">
        <v>7412140.9998699659</v>
      </c>
    </row>
    <row r="291" spans="1:11" x14ac:dyDescent="0.35">
      <c r="A291">
        <v>291</v>
      </c>
      <c r="B291">
        <v>-138.19221358001232</v>
      </c>
      <c r="C291">
        <v>-3456.6376869867277</v>
      </c>
      <c r="D291">
        <v>-4216.6743006475417</v>
      </c>
      <c r="E291">
        <v>-4493.0985140132871</v>
      </c>
      <c r="F291">
        <v>-3586.433320970435</v>
      </c>
      <c r="G291">
        <v>480.30270208014446</v>
      </c>
      <c r="H291">
        <v>43725.945465962934</v>
      </c>
      <c r="I291">
        <v>317904.14427507651</v>
      </c>
      <c r="J291">
        <v>6917981.4107569605</v>
      </c>
      <c r="K291" s="68">
        <v>7412161.0897197332</v>
      </c>
    </row>
    <row r="292" spans="1:11" x14ac:dyDescent="0.35">
      <c r="A292">
        <v>292</v>
      </c>
      <c r="B292">
        <v>-137.55817547440529</v>
      </c>
      <c r="C292">
        <v>-3427.4698125477917</v>
      </c>
      <c r="D292">
        <v>-4193.8039653869864</v>
      </c>
      <c r="E292">
        <v>-4421.7397357323453</v>
      </c>
      <c r="F292">
        <v>-3547.0517142002818</v>
      </c>
      <c r="G292">
        <v>518.53986944609096</v>
      </c>
      <c r="H292">
        <v>43781.643081642025</v>
      </c>
      <c r="I292">
        <v>317944.35503169574</v>
      </c>
      <c r="J292">
        <v>6919820.7162177684</v>
      </c>
      <c r="K292" s="68">
        <v>7413781.4768411238</v>
      </c>
    </row>
    <row r="293" spans="1:11" x14ac:dyDescent="0.35">
      <c r="A293">
        <v>293</v>
      </c>
      <c r="B293">
        <v>-136.69530255695452</v>
      </c>
      <c r="C293">
        <v>-3363.972188111889</v>
      </c>
      <c r="D293">
        <v>-4191.4375719733307</v>
      </c>
      <c r="E293">
        <v>-4415.8945128423265</v>
      </c>
      <c r="F293">
        <v>-3502.0018008769744</v>
      </c>
      <c r="G293">
        <v>536.0191077553518</v>
      </c>
      <c r="H293">
        <v>43789.075587088359</v>
      </c>
      <c r="I293">
        <v>318147.92563110916</v>
      </c>
      <c r="J293">
        <v>6920477.6247499902</v>
      </c>
      <c r="K293" s="68">
        <v>7414739.7695044624</v>
      </c>
    </row>
    <row r="294" spans="1:11" x14ac:dyDescent="0.35">
      <c r="A294">
        <v>294</v>
      </c>
      <c r="B294">
        <v>-135.29596316814423</v>
      </c>
      <c r="C294">
        <v>-3318.773913853915</v>
      </c>
      <c r="D294">
        <v>-4180.7661215200405</v>
      </c>
      <c r="E294">
        <v>-4377.0914725888397</v>
      </c>
      <c r="F294">
        <v>-3472.0690226329061</v>
      </c>
      <c r="G294">
        <v>577.99985228601417</v>
      </c>
      <c r="H294">
        <v>43827.447365409222</v>
      </c>
      <c r="I294">
        <v>318262.08048267773</v>
      </c>
      <c r="J294">
        <v>6920629.4826649511</v>
      </c>
      <c r="K294" s="68">
        <v>7416921.3939993344</v>
      </c>
    </row>
    <row r="295" spans="1:11" x14ac:dyDescent="0.35">
      <c r="A295">
        <v>295</v>
      </c>
      <c r="B295">
        <v>-135.24575601518154</v>
      </c>
      <c r="C295">
        <v>-3310.2345452134105</v>
      </c>
      <c r="D295">
        <v>-4142.7426696657476</v>
      </c>
      <c r="E295">
        <v>-4362.4005908113522</v>
      </c>
      <c r="F295">
        <v>-3464.0328086364775</v>
      </c>
      <c r="G295">
        <v>600.8019118199561</v>
      </c>
      <c r="H295">
        <v>43847.28764472522</v>
      </c>
      <c r="I295">
        <v>318389.49120680755</v>
      </c>
      <c r="J295">
        <v>6920842.2533763619</v>
      </c>
      <c r="K295" s="68">
        <v>7417427.0861382978</v>
      </c>
    </row>
    <row r="296" spans="1:11" x14ac:dyDescent="0.35">
      <c r="A296">
        <v>296</v>
      </c>
      <c r="B296">
        <v>-133.90689059346914</v>
      </c>
      <c r="C296">
        <v>-3310.0987420913052</v>
      </c>
      <c r="D296">
        <v>-4141.6542879436429</v>
      </c>
      <c r="E296">
        <v>-4362.0848196759089</v>
      </c>
      <c r="F296">
        <v>-3442.8278480334243</v>
      </c>
      <c r="G296">
        <v>716.81167026067237</v>
      </c>
      <c r="H296">
        <v>44254.424239185406</v>
      </c>
      <c r="I296">
        <v>318424.50841474981</v>
      </c>
      <c r="J296">
        <v>6920867.374690704</v>
      </c>
      <c r="K296" s="68">
        <v>7417584.1493578423</v>
      </c>
    </row>
    <row r="297" spans="1:11" x14ac:dyDescent="0.35">
      <c r="A297">
        <v>297</v>
      </c>
      <c r="B297">
        <v>-133.72108712047338</v>
      </c>
      <c r="C297">
        <v>-3305.3147844810928</v>
      </c>
      <c r="D297">
        <v>-4129.3950781548019</v>
      </c>
      <c r="E297">
        <v>-4349.9664464082252</v>
      </c>
      <c r="F297">
        <v>-3381.6741237722463</v>
      </c>
      <c r="G297">
        <v>730.19289804510299</v>
      </c>
      <c r="H297">
        <v>44268.324256855172</v>
      </c>
      <c r="I297">
        <v>318738.21418823471</v>
      </c>
      <c r="J297">
        <v>6922336.4743171716</v>
      </c>
      <c r="K297" s="68">
        <v>7418778.9346858244</v>
      </c>
    </row>
    <row r="298" spans="1:11" x14ac:dyDescent="0.35">
      <c r="A298">
        <v>298</v>
      </c>
      <c r="B298">
        <v>-133.39445060491562</v>
      </c>
      <c r="C298">
        <v>-3257.6498522328579</v>
      </c>
      <c r="D298">
        <v>-4128.3819984780184</v>
      </c>
      <c r="E298">
        <v>-4326.533664153485</v>
      </c>
      <c r="F298">
        <v>-3381.4594676927331</v>
      </c>
      <c r="G298">
        <v>788.61468552433803</v>
      </c>
      <c r="H298">
        <v>44446.652553631102</v>
      </c>
      <c r="I298">
        <v>319015.03475226706</v>
      </c>
      <c r="J298">
        <v>6922911.3968124324</v>
      </c>
      <c r="K298" s="68">
        <v>7419097.9402379068</v>
      </c>
    </row>
    <row r="299" spans="1:11" x14ac:dyDescent="0.35">
      <c r="A299">
        <v>299</v>
      </c>
      <c r="B299">
        <v>-132.84798594564199</v>
      </c>
      <c r="C299">
        <v>-3257.1562869020149</v>
      </c>
      <c r="D299">
        <v>-4116.202832394607</v>
      </c>
      <c r="E299">
        <v>-4309.0474884475734</v>
      </c>
      <c r="F299">
        <v>-3367.719517666962</v>
      </c>
      <c r="G299">
        <v>808.21320359443553</v>
      </c>
      <c r="H299">
        <v>44733.825796514458</v>
      </c>
      <c r="I299">
        <v>319132.88837114396</v>
      </c>
      <c r="J299">
        <v>6925780.806412749</v>
      </c>
      <c r="K299" s="68">
        <v>7419290.454467902</v>
      </c>
    </row>
    <row r="300" spans="1:11" x14ac:dyDescent="0.35">
      <c r="A300">
        <v>300</v>
      </c>
      <c r="B300">
        <v>-129.61436804383993</v>
      </c>
      <c r="C300">
        <v>-3252.6734103601502</v>
      </c>
      <c r="D300">
        <v>-4046.9864779406653</v>
      </c>
      <c r="E300">
        <v>-4271.4025863942124</v>
      </c>
      <c r="F300">
        <v>-3321.9730682349646</v>
      </c>
      <c r="G300">
        <v>846.18834020214183</v>
      </c>
      <c r="H300">
        <v>44811.600406022611</v>
      </c>
      <c r="I300">
        <v>319262.34870622749</v>
      </c>
      <c r="J300">
        <v>6929311.4045279119</v>
      </c>
      <c r="K300" s="68">
        <v>7419758.3451294443</v>
      </c>
    </row>
    <row r="301" spans="1:11" x14ac:dyDescent="0.35">
      <c r="A301">
        <v>301</v>
      </c>
      <c r="B301">
        <v>-126.66194561123848</v>
      </c>
      <c r="C301">
        <v>-3226.1773218192047</v>
      </c>
      <c r="D301">
        <v>-4005.0269324896949</v>
      </c>
      <c r="E301">
        <v>-4236.0948485004747</v>
      </c>
      <c r="F301">
        <v>-3170.354247297345</v>
      </c>
      <c r="G301">
        <v>892.26572496343954</v>
      </c>
      <c r="H301">
        <v>44949.697712440597</v>
      </c>
      <c r="I301">
        <v>319351.2884630023</v>
      </c>
      <c r="J301">
        <v>6930517.8460198734</v>
      </c>
      <c r="K301" s="68">
        <v>7419943.4449002752</v>
      </c>
    </row>
    <row r="302" spans="1:11" x14ac:dyDescent="0.35">
      <c r="A302">
        <v>302</v>
      </c>
      <c r="B302">
        <v>-126.60549948364496</v>
      </c>
      <c r="C302">
        <v>-3186.4501470721602</v>
      </c>
      <c r="D302">
        <v>-3997.7965366799208</v>
      </c>
      <c r="E302">
        <v>-4233.4588311196685</v>
      </c>
      <c r="F302">
        <v>-3159.1970610001345</v>
      </c>
      <c r="G302">
        <v>917.37607535647976</v>
      </c>
      <c r="H302">
        <v>44979.474292296894</v>
      </c>
      <c r="I302">
        <v>319531.64622399985</v>
      </c>
      <c r="J302">
        <v>6933211.4190927697</v>
      </c>
      <c r="K302" s="68">
        <v>7420223.9422340849</v>
      </c>
    </row>
    <row r="303" spans="1:11" x14ac:dyDescent="0.35">
      <c r="A303">
        <v>303</v>
      </c>
      <c r="B303">
        <v>-89.114536471664906</v>
      </c>
      <c r="C303">
        <v>-3119.3917856846861</v>
      </c>
      <c r="D303">
        <v>-3989.8289145288077</v>
      </c>
      <c r="E303">
        <v>-4227.037681150523</v>
      </c>
      <c r="F303">
        <v>-3139.7090240922134</v>
      </c>
      <c r="G303">
        <v>926.13351505919672</v>
      </c>
      <c r="H303">
        <v>45009.062832335461</v>
      </c>
      <c r="I303">
        <v>319702.06071664148</v>
      </c>
      <c r="J303">
        <v>6934938.5749158496</v>
      </c>
      <c r="K303" s="68">
        <v>7422225.125031488</v>
      </c>
    </row>
    <row r="304" spans="1:11" x14ac:dyDescent="0.35">
      <c r="A304">
        <v>304</v>
      </c>
      <c r="B304">
        <v>-88.571280956268311</v>
      </c>
      <c r="C304">
        <v>-3102.2632215446083</v>
      </c>
      <c r="D304">
        <v>-3904.6372612248188</v>
      </c>
      <c r="E304">
        <v>-4222.4441813262347</v>
      </c>
      <c r="F304">
        <v>-3098.1478485517327</v>
      </c>
      <c r="G304">
        <v>962.68340329168734</v>
      </c>
      <c r="H304">
        <v>45268.589672590453</v>
      </c>
      <c r="I304">
        <v>319983.14340121212</v>
      </c>
      <c r="J304">
        <v>6934996.1758342544</v>
      </c>
      <c r="K304" s="68">
        <v>7422527.2219482809</v>
      </c>
    </row>
    <row r="305" spans="1:11" x14ac:dyDescent="0.35">
      <c r="A305">
        <v>305</v>
      </c>
      <c r="B305">
        <v>-88.416521172986776</v>
      </c>
      <c r="C305">
        <v>-2995.5243570546672</v>
      </c>
      <c r="D305">
        <v>-3887.4432268604019</v>
      </c>
      <c r="E305">
        <v>-4217.2728184547914</v>
      </c>
      <c r="F305">
        <v>-3049.1125207548657</v>
      </c>
      <c r="G305">
        <v>1004.1431286201087</v>
      </c>
      <c r="H305">
        <v>45334.194865266247</v>
      </c>
      <c r="I305">
        <v>320346.21852104802</v>
      </c>
      <c r="J305">
        <v>6937569.4624474617</v>
      </c>
      <c r="K305" s="68">
        <v>7424379.8388794214</v>
      </c>
    </row>
    <row r="306" spans="1:11" x14ac:dyDescent="0.35">
      <c r="A306">
        <v>306</v>
      </c>
      <c r="B306">
        <v>-88.33639295399189</v>
      </c>
      <c r="C306">
        <v>-2991.670042544572</v>
      </c>
      <c r="D306">
        <v>-3873.2897298959379</v>
      </c>
      <c r="E306">
        <v>-4200.7734084410149</v>
      </c>
      <c r="F306">
        <v>-3039.4806537250697</v>
      </c>
      <c r="G306">
        <v>1017.9666666862341</v>
      </c>
      <c r="H306">
        <v>45529.913734056303</v>
      </c>
      <c r="I306">
        <v>320640.49571649625</v>
      </c>
      <c r="J306">
        <v>6937785.1306705158</v>
      </c>
      <c r="K306" s="68">
        <v>7425488.4199375734</v>
      </c>
    </row>
    <row r="307" spans="1:11" x14ac:dyDescent="0.35">
      <c r="A307">
        <v>307</v>
      </c>
      <c r="B307">
        <v>-87.922723524272442</v>
      </c>
      <c r="C307">
        <v>-2968.3652743040361</v>
      </c>
      <c r="D307">
        <v>-3848.3063408718822</v>
      </c>
      <c r="E307">
        <v>-4196.0664241066042</v>
      </c>
      <c r="F307">
        <v>-2984.0259380834032</v>
      </c>
      <c r="G307">
        <v>1029.3077990184693</v>
      </c>
      <c r="H307">
        <v>45564.521638755876</v>
      </c>
      <c r="I307">
        <v>321130.10084513854</v>
      </c>
      <c r="J307">
        <v>6937990.0512081655</v>
      </c>
      <c r="K307" s="68">
        <v>7426102.056841583</v>
      </c>
    </row>
    <row r="308" spans="1:11" x14ac:dyDescent="0.35">
      <c r="A308">
        <v>308</v>
      </c>
      <c r="B308">
        <v>-87.380361281335354</v>
      </c>
      <c r="C308">
        <v>-2964.9696337850542</v>
      </c>
      <c r="D308">
        <v>-3822.7645659134832</v>
      </c>
      <c r="E308">
        <v>-4186.9217037854651</v>
      </c>
      <c r="F308">
        <v>-2942.7142435679561</v>
      </c>
      <c r="G308">
        <v>1070.1379032654022</v>
      </c>
      <c r="H308">
        <v>45681.217946248973</v>
      </c>
      <c r="I308">
        <v>321250.97148241376</v>
      </c>
      <c r="J308">
        <v>6939894.1810447024</v>
      </c>
      <c r="K308" s="68">
        <v>7426521.1537621189</v>
      </c>
    </row>
    <row r="309" spans="1:11" x14ac:dyDescent="0.35">
      <c r="A309">
        <v>309</v>
      </c>
      <c r="B309">
        <v>-87.141108632087708</v>
      </c>
      <c r="C309">
        <v>-2917.1050418838859</v>
      </c>
      <c r="D309">
        <v>-3809.0228655656547</v>
      </c>
      <c r="E309">
        <v>-4170.562957466298</v>
      </c>
      <c r="F309">
        <v>-2805.8616230628127</v>
      </c>
      <c r="G309">
        <v>1125.8902844759073</v>
      </c>
      <c r="H309">
        <v>45918.700839102399</v>
      </c>
      <c r="I309">
        <v>321297.19271280663</v>
      </c>
      <c r="J309">
        <v>6941021.9616120942</v>
      </c>
      <c r="K309" s="68">
        <v>7428485.8180549378</v>
      </c>
    </row>
    <row r="310" spans="1:11" x14ac:dyDescent="0.35">
      <c r="A310">
        <v>310</v>
      </c>
      <c r="B310">
        <v>-87.128304965794086</v>
      </c>
      <c r="C310">
        <v>-2905.7545204832977</v>
      </c>
      <c r="D310">
        <v>-3793.51256811555</v>
      </c>
      <c r="E310">
        <v>-4139.3516133887733</v>
      </c>
      <c r="F310">
        <v>-2784.0223162203438</v>
      </c>
      <c r="G310">
        <v>1216.4082221389642</v>
      </c>
      <c r="H310">
        <v>46078.93291179384</v>
      </c>
      <c r="I310">
        <v>321889.77788553375</v>
      </c>
      <c r="J310">
        <v>6944644.4981485875</v>
      </c>
      <c r="K310" s="68">
        <v>7429449.256925242</v>
      </c>
    </row>
    <row r="311" spans="1:11" x14ac:dyDescent="0.35">
      <c r="A311">
        <v>311</v>
      </c>
      <c r="B311">
        <v>-87.015143677592278</v>
      </c>
      <c r="C311">
        <v>-2901.5130776206188</v>
      </c>
      <c r="D311">
        <v>-3782.1039710305304</v>
      </c>
      <c r="E311">
        <v>-4129.0247832622445</v>
      </c>
      <c r="F311">
        <v>-2684.9061333242989</v>
      </c>
      <c r="G311">
        <v>1221.4488761126877</v>
      </c>
      <c r="H311">
        <v>46111.354099386488</v>
      </c>
      <c r="I311">
        <v>322128.80159516557</v>
      </c>
      <c r="J311">
        <v>6945815.7594037317</v>
      </c>
      <c r="K311" s="68">
        <v>7429728.7835658733</v>
      </c>
    </row>
    <row r="312" spans="1:11" x14ac:dyDescent="0.35">
      <c r="A312">
        <v>312</v>
      </c>
      <c r="B312">
        <v>-86.97465381026268</v>
      </c>
      <c r="C312">
        <v>-2862.4519995176543</v>
      </c>
      <c r="D312">
        <v>-3755.2806270214187</v>
      </c>
      <c r="E312">
        <v>-4104.426724565481</v>
      </c>
      <c r="F312">
        <v>-2684.5619998810034</v>
      </c>
      <c r="G312">
        <v>1357.5389628901535</v>
      </c>
      <c r="H312">
        <v>46483.977553467266</v>
      </c>
      <c r="I312">
        <v>322481.82733363862</v>
      </c>
      <c r="J312">
        <v>6948431.6986647137</v>
      </c>
      <c r="K312" s="68">
        <v>7430810.76145967</v>
      </c>
    </row>
    <row r="313" spans="1:11" x14ac:dyDescent="0.35">
      <c r="A313">
        <v>313</v>
      </c>
      <c r="B313">
        <v>-86.945737838745117</v>
      </c>
      <c r="C313">
        <v>-2824.2265363646425</v>
      </c>
      <c r="D313">
        <v>-3747.6123068822467</v>
      </c>
      <c r="E313">
        <v>-4096.5990694194606</v>
      </c>
      <c r="F313">
        <v>-2639.9437498195321</v>
      </c>
      <c r="G313">
        <v>1398.5360366307943</v>
      </c>
      <c r="H313">
        <v>46650.830169581859</v>
      </c>
      <c r="I313">
        <v>322872.73332079046</v>
      </c>
      <c r="J313">
        <v>6948969.7085178941</v>
      </c>
      <c r="K313" s="68">
        <v>7431841.141668153</v>
      </c>
    </row>
    <row r="314" spans="1:11" x14ac:dyDescent="0.35">
      <c r="A314">
        <v>314</v>
      </c>
      <c r="B314">
        <v>-86.886922039091587</v>
      </c>
      <c r="C314">
        <v>-2794.797797718219</v>
      </c>
      <c r="D314">
        <v>-3747.1656463932527</v>
      </c>
      <c r="E314">
        <v>-4092.3924356398616</v>
      </c>
      <c r="F314">
        <v>-2634.3200482821412</v>
      </c>
      <c r="G314">
        <v>1449.2446041206804</v>
      </c>
      <c r="H314">
        <v>46779.163900035739</v>
      </c>
      <c r="I314">
        <v>323190.21018194593</v>
      </c>
      <c r="J314">
        <v>6950564.2037270665</v>
      </c>
      <c r="K314" s="68">
        <v>7434694.1009848034</v>
      </c>
    </row>
    <row r="315" spans="1:11" x14ac:dyDescent="0.35">
      <c r="A315">
        <v>315</v>
      </c>
      <c r="B315">
        <v>-86.251035377383232</v>
      </c>
      <c r="C315">
        <v>-2736.0461590262935</v>
      </c>
      <c r="D315">
        <v>-3734.9937323435524</v>
      </c>
      <c r="E315">
        <v>-4086.4104753864813</v>
      </c>
      <c r="F315">
        <v>-2629.9140018880662</v>
      </c>
      <c r="G315">
        <v>1458.244543011946</v>
      </c>
      <c r="H315">
        <v>46867.144398715631</v>
      </c>
      <c r="I315">
        <v>323503.48452333582</v>
      </c>
      <c r="J315">
        <v>6950903.2039422272</v>
      </c>
      <c r="K315" s="68">
        <v>7434761.4574307753</v>
      </c>
    </row>
    <row r="316" spans="1:11" x14ac:dyDescent="0.35">
      <c r="A316">
        <v>316</v>
      </c>
      <c r="B316">
        <v>-85.729759357869625</v>
      </c>
      <c r="C316">
        <v>-2664.1468100677789</v>
      </c>
      <c r="D316">
        <v>-3733.2195985207059</v>
      </c>
      <c r="E316">
        <v>-4056.1820456122659</v>
      </c>
      <c r="F316">
        <v>-2628.6535185917282</v>
      </c>
      <c r="G316">
        <v>1473.7792932767297</v>
      </c>
      <c r="H316">
        <v>47029.949388507543</v>
      </c>
      <c r="I316">
        <v>323675.52898123045</v>
      </c>
      <c r="J316">
        <v>6954979.8050164972</v>
      </c>
      <c r="K316" s="68">
        <v>7435402.3747066967</v>
      </c>
    </row>
    <row r="317" spans="1:11" x14ac:dyDescent="0.35">
      <c r="A317">
        <v>317</v>
      </c>
      <c r="B317">
        <v>-85.158996775746346</v>
      </c>
      <c r="C317">
        <v>-2659.1640510862362</v>
      </c>
      <c r="D317">
        <v>-3706.4661893894445</v>
      </c>
      <c r="E317">
        <v>-4053.187363212523</v>
      </c>
      <c r="F317">
        <v>-2628.3193477358718</v>
      </c>
      <c r="G317">
        <v>1481.0914666224262</v>
      </c>
      <c r="H317">
        <v>47045.267761852607</v>
      </c>
      <c r="I317">
        <v>323944.85392758303</v>
      </c>
      <c r="J317">
        <v>6959215.3295491748</v>
      </c>
      <c r="K317" s="68">
        <v>7443371.119444456</v>
      </c>
    </row>
    <row r="318" spans="1:11" x14ac:dyDescent="0.35">
      <c r="A318">
        <v>318</v>
      </c>
      <c r="B318">
        <v>-84.679327517747879</v>
      </c>
      <c r="C318">
        <v>-2654.0136510986049</v>
      </c>
      <c r="D318">
        <v>-3696.0169739860976</v>
      </c>
      <c r="E318">
        <v>-4033.8615742393067</v>
      </c>
      <c r="F318">
        <v>-2467.009497188792</v>
      </c>
      <c r="G318">
        <v>1484.3622556110427</v>
      </c>
      <c r="H318">
        <v>47059.813549757702</v>
      </c>
      <c r="I318">
        <v>324343.70008177427</v>
      </c>
      <c r="J318">
        <v>6960337.4727254007</v>
      </c>
      <c r="K318" s="68">
        <v>7445969.5871332251</v>
      </c>
    </row>
    <row r="319" spans="1:11" x14ac:dyDescent="0.35">
      <c r="A319">
        <v>319</v>
      </c>
      <c r="B319">
        <v>-84.104134902358055</v>
      </c>
      <c r="C319">
        <v>-2599.4700478260706</v>
      </c>
      <c r="D319">
        <v>-3693.3294403580016</v>
      </c>
      <c r="E319">
        <v>-4027.464424698856</v>
      </c>
      <c r="F319">
        <v>-2425.4237914825217</v>
      </c>
      <c r="G319">
        <v>1516.2908749814951</v>
      </c>
      <c r="H319">
        <v>47138.092172641263</v>
      </c>
      <c r="I319">
        <v>324364.95679019508</v>
      </c>
      <c r="J319">
        <v>6967399.369965625</v>
      </c>
      <c r="K319" s="68">
        <v>7448029.158808603</v>
      </c>
    </row>
    <row r="320" spans="1:11" x14ac:dyDescent="0.35">
      <c r="A320">
        <v>320</v>
      </c>
      <c r="B320">
        <v>-83.423511825501919</v>
      </c>
      <c r="C320">
        <v>-2592.3225394267247</v>
      </c>
      <c r="D320">
        <v>-3627.5211334565702</v>
      </c>
      <c r="E320">
        <v>-3984.9732952546574</v>
      </c>
      <c r="F320">
        <v>-2413.5607465699281</v>
      </c>
      <c r="G320">
        <v>1667.2436399582541</v>
      </c>
      <c r="H320">
        <v>47236.300723925786</v>
      </c>
      <c r="I320">
        <v>324702.83949063212</v>
      </c>
      <c r="J320">
        <v>6968720.1913100658</v>
      </c>
      <c r="K320" s="68">
        <v>7449756.6729579866</v>
      </c>
    </row>
    <row r="321" spans="1:11" x14ac:dyDescent="0.35">
      <c r="A321">
        <v>321</v>
      </c>
      <c r="B321">
        <v>-82.665983669938711</v>
      </c>
      <c r="C321">
        <v>-2578.1844823213423</v>
      </c>
      <c r="D321">
        <v>-3618.231119790129</v>
      </c>
      <c r="E321">
        <v>-3858.1893096530221</v>
      </c>
      <c r="F321">
        <v>-2397.7354365515607</v>
      </c>
      <c r="G321">
        <v>1691.2344749074264</v>
      </c>
      <c r="H321">
        <v>47283.401043239202</v>
      </c>
      <c r="I321">
        <v>324751.35068179516</v>
      </c>
      <c r="J321">
        <v>6970760.8759542145</v>
      </c>
      <c r="K321" s="68">
        <v>7450795.5972326165</v>
      </c>
    </row>
    <row r="322" spans="1:11" x14ac:dyDescent="0.35">
      <c r="A322">
        <v>322</v>
      </c>
      <c r="B322">
        <v>-80.505010932683945</v>
      </c>
      <c r="C322">
        <v>-2564.8505973585902</v>
      </c>
      <c r="D322">
        <v>-3615.263434541384</v>
      </c>
      <c r="E322">
        <v>-3841.781872520552</v>
      </c>
      <c r="F322">
        <v>-2357.1425498069152</v>
      </c>
      <c r="G322">
        <v>1742.6048402244553</v>
      </c>
      <c r="H322">
        <v>47343.716767368773</v>
      </c>
      <c r="I322">
        <v>325057.04664058203</v>
      </c>
      <c r="J322">
        <v>6976600.796208513</v>
      </c>
      <c r="K322" s="68">
        <v>7454359.9358330127</v>
      </c>
    </row>
    <row r="323" spans="1:11" x14ac:dyDescent="0.35">
      <c r="A323">
        <v>323</v>
      </c>
      <c r="B323">
        <v>0</v>
      </c>
      <c r="C323">
        <v>-2541.0458139123525</v>
      </c>
      <c r="D323">
        <v>-3613.1135327124016</v>
      </c>
      <c r="E323">
        <v>-3815.4814268775544</v>
      </c>
      <c r="F323">
        <v>-2356.735011246376</v>
      </c>
      <c r="G323">
        <v>1764.1774558636603</v>
      </c>
      <c r="H323">
        <v>47699.361012934634</v>
      </c>
      <c r="I323">
        <v>325298.89056019892</v>
      </c>
      <c r="J323">
        <v>6980262.889400431</v>
      </c>
      <c r="K323" s="68">
        <v>7458402.9560574545</v>
      </c>
    </row>
    <row r="324" spans="1:11" x14ac:dyDescent="0.35">
      <c r="A324">
        <v>324</v>
      </c>
      <c r="B324">
        <v>0</v>
      </c>
      <c r="C324">
        <v>-2531.2562371241092</v>
      </c>
      <c r="D324">
        <v>-3612.8275337263176</v>
      </c>
      <c r="E324">
        <v>-3814.0449789379363</v>
      </c>
      <c r="F324">
        <v>-2317.148603034183</v>
      </c>
      <c r="G324">
        <v>1800.2645139784286</v>
      </c>
      <c r="H324">
        <v>47817.72818586223</v>
      </c>
      <c r="I324">
        <v>325507.66634682537</v>
      </c>
      <c r="J324">
        <v>6981721.0878789425</v>
      </c>
      <c r="K324" s="68">
        <v>7461144.2418328915</v>
      </c>
    </row>
    <row r="325" spans="1:11" x14ac:dyDescent="0.35">
      <c r="A325">
        <v>325</v>
      </c>
      <c r="B325">
        <v>0</v>
      </c>
      <c r="C325">
        <v>-2518.5352923406294</v>
      </c>
      <c r="D325">
        <v>-3587.7430392330143</v>
      </c>
      <c r="E325">
        <v>-3799.0118760617388</v>
      </c>
      <c r="F325">
        <v>-2286.2126007868746</v>
      </c>
      <c r="G325">
        <v>1896.5978321187379</v>
      </c>
      <c r="H325">
        <v>47831.435961037743</v>
      </c>
      <c r="I325">
        <v>326131.17828222888</v>
      </c>
      <c r="J325">
        <v>6985685.8747970425</v>
      </c>
      <c r="K325" s="68">
        <v>7461366.695801842</v>
      </c>
    </row>
    <row r="326" spans="1:11" x14ac:dyDescent="0.35">
      <c r="A326">
        <v>326</v>
      </c>
      <c r="B326">
        <v>0</v>
      </c>
      <c r="C326">
        <v>-2511.2818397355263</v>
      </c>
      <c r="D326">
        <v>-3469.5045652521158</v>
      </c>
      <c r="E326">
        <v>-3708.8008608857535</v>
      </c>
      <c r="F326">
        <v>-2264.3602125870379</v>
      </c>
      <c r="G326">
        <v>1914.0338501400088</v>
      </c>
      <c r="H326">
        <v>47843.131103847547</v>
      </c>
      <c r="I326">
        <v>326199.06292984181</v>
      </c>
      <c r="J326">
        <v>6988255.5200350014</v>
      </c>
      <c r="K326" s="68">
        <v>7463525.8110690294</v>
      </c>
    </row>
    <row r="327" spans="1:11" x14ac:dyDescent="0.35">
      <c r="A327">
        <v>327</v>
      </c>
      <c r="B327">
        <v>0</v>
      </c>
      <c r="C327">
        <v>-2507.9497256427853</v>
      </c>
      <c r="D327">
        <v>-3453.2708252473226</v>
      </c>
      <c r="E327">
        <v>-3705.8887411403116</v>
      </c>
      <c r="F327">
        <v>-2259.797658351416</v>
      </c>
      <c r="G327">
        <v>1922.2390672756419</v>
      </c>
      <c r="H327">
        <v>47892.930879284584</v>
      </c>
      <c r="I327">
        <v>326235.5469645072</v>
      </c>
      <c r="J327">
        <v>6988981.7496629013</v>
      </c>
      <c r="K327" s="68">
        <v>7467271.1706930222</v>
      </c>
    </row>
    <row r="328" spans="1:11" x14ac:dyDescent="0.35">
      <c r="A328">
        <v>328</v>
      </c>
      <c r="B328">
        <v>0</v>
      </c>
      <c r="C328">
        <v>-2488.1173001539041</v>
      </c>
      <c r="D328">
        <v>-3435.2721016369014</v>
      </c>
      <c r="E328">
        <v>-3680.2193993543015</v>
      </c>
      <c r="F328">
        <v>-2160.1035250768673</v>
      </c>
      <c r="G328">
        <v>2003.4076972087823</v>
      </c>
      <c r="H328">
        <v>48015.500076226366</v>
      </c>
      <c r="I328">
        <v>326841.73171726218</v>
      </c>
      <c r="J328">
        <v>6990935.3029826162</v>
      </c>
      <c r="K328" s="68">
        <v>7473147.0942626949</v>
      </c>
    </row>
    <row r="329" spans="1:11" x14ac:dyDescent="0.35">
      <c r="A329">
        <v>329</v>
      </c>
      <c r="B329">
        <v>0</v>
      </c>
      <c r="C329">
        <v>-2456.202080540359</v>
      </c>
      <c r="D329">
        <v>-3335.3734585245238</v>
      </c>
      <c r="E329">
        <v>-3671.3267601268431</v>
      </c>
      <c r="F329">
        <v>-2056.6355354299976</v>
      </c>
      <c r="G329">
        <v>2036.6385380972213</v>
      </c>
      <c r="H329">
        <v>48128.649385022843</v>
      </c>
      <c r="I329">
        <v>327290.9831912237</v>
      </c>
      <c r="J329">
        <v>6991027.2029492902</v>
      </c>
      <c r="K329" s="68">
        <v>7477513.2413549796</v>
      </c>
    </row>
    <row r="330" spans="1:11" x14ac:dyDescent="0.35">
      <c r="A330">
        <v>330</v>
      </c>
      <c r="B330">
        <v>0</v>
      </c>
      <c r="C330">
        <v>-2445.6706152641609</v>
      </c>
      <c r="D330">
        <v>-3286.8713297450818</v>
      </c>
      <c r="E330">
        <v>-3618.1084575308023</v>
      </c>
      <c r="F330">
        <v>-2022.0568215348285</v>
      </c>
      <c r="G330">
        <v>2057.1719981185029</v>
      </c>
      <c r="H330">
        <v>48182.914557561271</v>
      </c>
      <c r="I330">
        <v>327608.50650934904</v>
      </c>
      <c r="J330">
        <v>6991560.4118332276</v>
      </c>
      <c r="K330" s="68">
        <v>7477567.4178641178</v>
      </c>
    </row>
    <row r="331" spans="1:11" x14ac:dyDescent="0.35">
      <c r="A331">
        <v>331</v>
      </c>
      <c r="B331">
        <v>0</v>
      </c>
      <c r="C331">
        <v>-2412.7931310535132</v>
      </c>
      <c r="D331">
        <v>-3274.3237941955804</v>
      </c>
      <c r="E331">
        <v>-3604.1237860570204</v>
      </c>
      <c r="F331">
        <v>-2002.2415143277012</v>
      </c>
      <c r="G331">
        <v>2110.071154168143</v>
      </c>
      <c r="H331">
        <v>48345.760047463293</v>
      </c>
      <c r="I331">
        <v>327658.57492544851</v>
      </c>
      <c r="J331">
        <v>6991683.2165007079</v>
      </c>
      <c r="K331" s="68">
        <v>7478473.8602593383</v>
      </c>
    </row>
    <row r="332" spans="1:11" x14ac:dyDescent="0.35">
      <c r="A332">
        <v>332</v>
      </c>
      <c r="B332">
        <v>1.2621855115536874E-283</v>
      </c>
      <c r="C332">
        <v>-2411.9745397376109</v>
      </c>
      <c r="D332">
        <v>-3194.1126419092793</v>
      </c>
      <c r="E332">
        <v>-3557.7603654970962</v>
      </c>
      <c r="F332">
        <v>-1927.866760860227</v>
      </c>
      <c r="G332">
        <v>2162.2100829599622</v>
      </c>
      <c r="H332">
        <v>48596.382885125429</v>
      </c>
      <c r="I332">
        <v>328639.40896491444</v>
      </c>
      <c r="J332">
        <v>6992295.1676961286</v>
      </c>
      <c r="K332" s="68">
        <v>7481178.7105167555</v>
      </c>
    </row>
    <row r="333" spans="1:11" x14ac:dyDescent="0.35">
      <c r="A333">
        <v>333</v>
      </c>
      <c r="B333">
        <v>3.3776629888967986E-250</v>
      </c>
      <c r="C333">
        <v>-2341.7481993437127</v>
      </c>
      <c r="D333">
        <v>-3190.1702878360029</v>
      </c>
      <c r="E333">
        <v>-3510.4804724918945</v>
      </c>
      <c r="F333">
        <v>-1866.9738603904468</v>
      </c>
      <c r="G333">
        <v>2193.8335406381702</v>
      </c>
      <c r="H333">
        <v>48821.529387917464</v>
      </c>
      <c r="I333">
        <v>330001.60082649195</v>
      </c>
      <c r="J333">
        <v>6992710.1759482166</v>
      </c>
      <c r="K333" s="68">
        <v>7481281.0798780061</v>
      </c>
    </row>
    <row r="334" spans="1:11" x14ac:dyDescent="0.35">
      <c r="A334">
        <v>334</v>
      </c>
      <c r="B334">
        <v>7.3944326552562772E-225</v>
      </c>
      <c r="C334">
        <v>-2341.5664532482624</v>
      </c>
      <c r="D334">
        <v>-3185.3419358920937</v>
      </c>
      <c r="E334">
        <v>-3499.4102250186638</v>
      </c>
      <c r="F334">
        <v>-1838.395220414008</v>
      </c>
      <c r="G334">
        <v>2201.2222420865137</v>
      </c>
      <c r="H334">
        <v>49015.190159143822</v>
      </c>
      <c r="I334">
        <v>330535.65283158357</v>
      </c>
      <c r="J334">
        <v>6993406.2224943517</v>
      </c>
      <c r="K334" s="68">
        <v>7482264.753091678</v>
      </c>
    </row>
    <row r="335" spans="1:11" x14ac:dyDescent="0.35">
      <c r="A335">
        <v>335</v>
      </c>
      <c r="B335">
        <v>6.525663221206066E-215</v>
      </c>
      <c r="C335">
        <v>-2338.4450618518299</v>
      </c>
      <c r="D335">
        <v>-3179.4653840049045</v>
      </c>
      <c r="E335">
        <v>-3468.7161205919829</v>
      </c>
      <c r="F335">
        <v>-1833.4889456104211</v>
      </c>
      <c r="G335">
        <v>2214.0924476427681</v>
      </c>
      <c r="H335">
        <v>49027.72064636054</v>
      </c>
      <c r="I335">
        <v>330660.20553719794</v>
      </c>
      <c r="J335">
        <v>6993666.7692551445</v>
      </c>
      <c r="K335" s="68">
        <v>7482987.5026710108</v>
      </c>
    </row>
    <row r="336" spans="1:11" x14ac:dyDescent="0.35">
      <c r="A336">
        <v>336</v>
      </c>
      <c r="B336">
        <v>1.0358216621453771E-181</v>
      </c>
      <c r="C336">
        <v>-2337.6029375614394</v>
      </c>
      <c r="D336">
        <v>-3168.9063700924344</v>
      </c>
      <c r="E336">
        <v>-3433.0750000386724</v>
      </c>
      <c r="F336">
        <v>-1801.5601906573338</v>
      </c>
      <c r="G336">
        <v>2221.6835677705049</v>
      </c>
      <c r="H336">
        <v>49032.987639796847</v>
      </c>
      <c r="I336">
        <v>330998.83642332588</v>
      </c>
      <c r="J336">
        <v>6996753.0539307436</v>
      </c>
      <c r="K336" s="68">
        <v>7486093.5691248458</v>
      </c>
    </row>
    <row r="337" spans="1:11" x14ac:dyDescent="0.35">
      <c r="A337">
        <v>337</v>
      </c>
      <c r="B337">
        <v>4.7576381090611298E-180</v>
      </c>
      <c r="C337">
        <v>-2303.1178198903799</v>
      </c>
      <c r="D337">
        <v>-3164.8641187516214</v>
      </c>
      <c r="E337">
        <v>-3402.6247724033801</v>
      </c>
      <c r="F337">
        <v>-1797.108124248507</v>
      </c>
      <c r="G337">
        <v>2258.0919264754766</v>
      </c>
      <c r="H337">
        <v>49318.224956899503</v>
      </c>
      <c r="I337">
        <v>331260.40508351417</v>
      </c>
      <c r="J337">
        <v>6996838.2381212832</v>
      </c>
      <c r="K337" s="68">
        <v>7486757.4848652231</v>
      </c>
    </row>
    <row r="338" spans="1:11" x14ac:dyDescent="0.35">
      <c r="A338">
        <v>338</v>
      </c>
      <c r="B338">
        <v>3.584736809898515E-166</v>
      </c>
      <c r="C338">
        <v>-2269.5853008393133</v>
      </c>
      <c r="D338">
        <v>-3147.110135842418</v>
      </c>
      <c r="E338">
        <v>-3398.4072814152678</v>
      </c>
      <c r="F338">
        <v>-1794.6909297704574</v>
      </c>
      <c r="G338">
        <v>2280.6735446862886</v>
      </c>
      <c r="H338">
        <v>49345.422429466926</v>
      </c>
      <c r="I338">
        <v>331444.56505001127</v>
      </c>
      <c r="J338">
        <v>6998959.304712778</v>
      </c>
      <c r="K338" s="68">
        <v>7487925.8225013558</v>
      </c>
    </row>
    <row r="339" spans="1:11" x14ac:dyDescent="0.35">
      <c r="A339">
        <v>339</v>
      </c>
      <c r="B339">
        <v>3.003772381443729E-161</v>
      </c>
      <c r="C339">
        <v>-2267.4302526193533</v>
      </c>
      <c r="D339">
        <v>-3124.1869841141079</v>
      </c>
      <c r="E339">
        <v>-3352.8979638552205</v>
      </c>
      <c r="F339">
        <v>-1782.8863265035063</v>
      </c>
      <c r="G339">
        <v>2298.6676478487607</v>
      </c>
      <c r="H339">
        <v>49459.104366622596</v>
      </c>
      <c r="I339">
        <v>331451.61583847197</v>
      </c>
      <c r="J339">
        <v>7001833.4460233124</v>
      </c>
      <c r="K339" s="68">
        <v>7492429.2630203823</v>
      </c>
    </row>
    <row r="340" spans="1:11" x14ac:dyDescent="0.35">
      <c r="A340">
        <v>340</v>
      </c>
      <c r="B340">
        <v>6.586009743171502E-144</v>
      </c>
      <c r="C340">
        <v>-2238.2282784457461</v>
      </c>
      <c r="D340">
        <v>-3120.4068565489397</v>
      </c>
      <c r="E340">
        <v>-3281.4688715615921</v>
      </c>
      <c r="F340">
        <v>-1763.0114749898262</v>
      </c>
      <c r="G340">
        <v>2360.7762327467626</v>
      </c>
      <c r="H340">
        <v>49604.742997220703</v>
      </c>
      <c r="I340">
        <v>331744.43112108542</v>
      </c>
      <c r="J340">
        <v>7008926.9188286215</v>
      </c>
      <c r="K340" s="68">
        <v>7494126.3865231499</v>
      </c>
    </row>
    <row r="341" spans="1:11" x14ac:dyDescent="0.35">
      <c r="A341">
        <v>341</v>
      </c>
      <c r="B341">
        <v>2.7360189981002985E-114</v>
      </c>
      <c r="C341">
        <v>-2223.1391527938649</v>
      </c>
      <c r="D341">
        <v>-3060.7699132599628</v>
      </c>
      <c r="E341">
        <v>-3265.685906189155</v>
      </c>
      <c r="F341">
        <v>-1762.5981714235691</v>
      </c>
      <c r="G341">
        <v>2378.7935025659572</v>
      </c>
      <c r="H341">
        <v>49745.749744159679</v>
      </c>
      <c r="I341">
        <v>332000.78391287476</v>
      </c>
      <c r="J341">
        <v>7009214.5510366466</v>
      </c>
      <c r="K341" s="68">
        <v>7495180.1264416398</v>
      </c>
    </row>
    <row r="342" spans="1:11" x14ac:dyDescent="0.35">
      <c r="A342">
        <v>342</v>
      </c>
      <c r="B342">
        <v>7.7442600260848309E-96</v>
      </c>
      <c r="C342">
        <v>-2195.4301025494933</v>
      </c>
      <c r="D342">
        <v>-3056.6774363087284</v>
      </c>
      <c r="E342">
        <v>-3253.2727343536671</v>
      </c>
      <c r="F342">
        <v>-1739.7223303410428</v>
      </c>
      <c r="G342">
        <v>2425.5232496196845</v>
      </c>
      <c r="H342">
        <v>49838.814337699681</v>
      </c>
      <c r="I342">
        <v>332048.18164308061</v>
      </c>
      <c r="J342">
        <v>7009500.6569560561</v>
      </c>
      <c r="K342" s="68">
        <v>7498936.8256891984</v>
      </c>
    </row>
    <row r="343" spans="1:11" x14ac:dyDescent="0.35">
      <c r="A343">
        <v>343</v>
      </c>
      <c r="B343">
        <v>2.8340455822225358E-94</v>
      </c>
      <c r="C343">
        <v>-2162.3288312232635</v>
      </c>
      <c r="D343">
        <v>-3054.8003811456492</v>
      </c>
      <c r="E343">
        <v>-3233.5315563133354</v>
      </c>
      <c r="F343">
        <v>-1671.0691208415685</v>
      </c>
      <c r="G343">
        <v>2426.0446081066762</v>
      </c>
      <c r="H343">
        <v>49862.663264619645</v>
      </c>
      <c r="I343">
        <v>332289.9049897042</v>
      </c>
      <c r="J343">
        <v>7013693.6551689748</v>
      </c>
      <c r="K343" s="68">
        <v>7499493.0219410481</v>
      </c>
    </row>
    <row r="344" spans="1:11" x14ac:dyDescent="0.35">
      <c r="A344">
        <v>344</v>
      </c>
      <c r="B344">
        <v>1.3004118249458554E-90</v>
      </c>
      <c r="C344">
        <v>-2153.5114865230698</v>
      </c>
      <c r="D344">
        <v>-3040.8254688344473</v>
      </c>
      <c r="E344">
        <v>-3219.0227915706764</v>
      </c>
      <c r="F344">
        <v>-1630.5293210728896</v>
      </c>
      <c r="G344">
        <v>2552.3649137874122</v>
      </c>
      <c r="H344">
        <v>49867.938105224646</v>
      </c>
      <c r="I344">
        <v>332398.78814075183</v>
      </c>
      <c r="J344">
        <v>7018304.5868287161</v>
      </c>
      <c r="K344" s="68">
        <v>7500545.4295886029</v>
      </c>
    </row>
    <row r="345" spans="1:11" x14ac:dyDescent="0.35">
      <c r="A345">
        <v>345</v>
      </c>
      <c r="B345">
        <v>4.5247783232871969E-89</v>
      </c>
      <c r="C345">
        <v>-2139.5021332304818</v>
      </c>
      <c r="D345">
        <v>-3028.408993537797</v>
      </c>
      <c r="E345">
        <v>-3198.2874215649763</v>
      </c>
      <c r="F345">
        <v>-1616.1663939553819</v>
      </c>
      <c r="G345">
        <v>2561.4966237727785</v>
      </c>
      <c r="H345">
        <v>49898.458581155974</v>
      </c>
      <c r="I345">
        <v>332876.94562886201</v>
      </c>
      <c r="J345">
        <v>7018674.4524582354</v>
      </c>
      <c r="K345" s="68">
        <v>7505120.0425231345</v>
      </c>
    </row>
    <row r="346" spans="1:11" x14ac:dyDescent="0.35">
      <c r="A346">
        <v>346</v>
      </c>
      <c r="B346">
        <v>8.6269176612923366E-89</v>
      </c>
      <c r="C346">
        <v>-2091.892662542748</v>
      </c>
      <c r="D346">
        <v>-3021.1950511406849</v>
      </c>
      <c r="E346">
        <v>-3166.9127868041737</v>
      </c>
      <c r="F346">
        <v>-1609.2701572632795</v>
      </c>
      <c r="G346">
        <v>2566.6661542307302</v>
      </c>
      <c r="H346">
        <v>49941.570117983814</v>
      </c>
      <c r="I346">
        <v>333071.71590300952</v>
      </c>
      <c r="J346">
        <v>7019119.7089617038</v>
      </c>
      <c r="K346" s="68">
        <v>7506103.6045811195</v>
      </c>
    </row>
    <row r="347" spans="1:11" x14ac:dyDescent="0.35">
      <c r="A347">
        <v>347</v>
      </c>
      <c r="B347">
        <v>4.2227487099228754E-87</v>
      </c>
      <c r="C347">
        <v>-2062.7186480026289</v>
      </c>
      <c r="D347">
        <v>-3018.4216782019002</v>
      </c>
      <c r="E347">
        <v>-3144.9191154444084</v>
      </c>
      <c r="F347">
        <v>-1537.8909771249639</v>
      </c>
      <c r="G347">
        <v>2597.513449560327</v>
      </c>
      <c r="H347">
        <v>50065.682250598598</v>
      </c>
      <c r="I347">
        <v>333140.18014314066</v>
      </c>
      <c r="J347">
        <v>7019274.7068929309</v>
      </c>
      <c r="K347" s="68">
        <v>7506615.4212290877</v>
      </c>
    </row>
    <row r="348" spans="1:11" x14ac:dyDescent="0.35">
      <c r="A348">
        <v>348</v>
      </c>
      <c r="B348">
        <v>5.602835523582068E-86</v>
      </c>
      <c r="C348">
        <v>-2039.8451396520518</v>
      </c>
      <c r="D348">
        <v>-3006.0150264591307</v>
      </c>
      <c r="E348">
        <v>-3140.0477166367427</v>
      </c>
      <c r="F348">
        <v>-1488.7480783425178</v>
      </c>
      <c r="G348">
        <v>2676.1118477593304</v>
      </c>
      <c r="H348">
        <v>50274.752559071159</v>
      </c>
      <c r="I348">
        <v>333393.06279795943</v>
      </c>
      <c r="J348">
        <v>7020098.5012241695</v>
      </c>
      <c r="K348" s="68">
        <v>7506970.432184618</v>
      </c>
    </row>
    <row r="349" spans="1:11" x14ac:dyDescent="0.35">
      <c r="A349">
        <v>349</v>
      </c>
      <c r="B349">
        <v>5.0757811460976339E-80</v>
      </c>
      <c r="C349">
        <v>-2012.3483442083802</v>
      </c>
      <c r="D349">
        <v>-2988.0646802264332</v>
      </c>
      <c r="E349">
        <v>-3119.3038471056152</v>
      </c>
      <c r="F349">
        <v>-1479.336678722532</v>
      </c>
      <c r="G349">
        <v>2705.7678914669596</v>
      </c>
      <c r="H349">
        <v>50301.330710017748</v>
      </c>
      <c r="I349">
        <v>333485.41798258724</v>
      </c>
      <c r="J349">
        <v>7020141.7873284519</v>
      </c>
      <c r="K349" s="68">
        <v>7512181.4166070204</v>
      </c>
    </row>
    <row r="350" spans="1:11" x14ac:dyDescent="0.35">
      <c r="A350">
        <v>350</v>
      </c>
      <c r="B350">
        <v>3.1771919046985986E-78</v>
      </c>
      <c r="C350">
        <v>-1994.274669647061</v>
      </c>
      <c r="D350">
        <v>-2985.8588346015845</v>
      </c>
      <c r="E350">
        <v>-3034.8324387950624</v>
      </c>
      <c r="F350">
        <v>-1407.0111074752385</v>
      </c>
      <c r="G350">
        <v>2802.5011699285737</v>
      </c>
      <c r="H350">
        <v>50357.568174665546</v>
      </c>
      <c r="I350">
        <v>333520.8261765269</v>
      </c>
      <c r="J350">
        <v>7020315.2726964485</v>
      </c>
      <c r="K350" s="68">
        <v>7513041.2826236682</v>
      </c>
    </row>
    <row r="351" spans="1:11" x14ac:dyDescent="0.35">
      <c r="A351">
        <v>351</v>
      </c>
      <c r="B351">
        <v>1.6247083603351427E-72</v>
      </c>
      <c r="C351">
        <v>-1993.5064574703429</v>
      </c>
      <c r="D351">
        <v>-2972.1962494729232</v>
      </c>
      <c r="E351">
        <v>-3017.5139766314251</v>
      </c>
      <c r="F351">
        <v>-1322.0928220298772</v>
      </c>
      <c r="G351">
        <v>2815.0645201065772</v>
      </c>
      <c r="H351">
        <v>50402.252536505621</v>
      </c>
      <c r="I351">
        <v>333974.29276931682</v>
      </c>
      <c r="J351">
        <v>7024450.3580891676</v>
      </c>
      <c r="K351" s="68">
        <v>7515249.4832696207</v>
      </c>
    </row>
    <row r="352" spans="1:11" x14ac:dyDescent="0.35">
      <c r="A352">
        <v>352</v>
      </c>
      <c r="B352">
        <v>1.0531395549490855E-69</v>
      </c>
      <c r="C352">
        <v>-1977.9641385301809</v>
      </c>
      <c r="D352">
        <v>-2931.9762389295011</v>
      </c>
      <c r="E352">
        <v>-2975.4297163627575</v>
      </c>
      <c r="F352">
        <v>-1316.6121800894236</v>
      </c>
      <c r="G352">
        <v>2818.3182036161834</v>
      </c>
      <c r="H352">
        <v>50452.894450325322</v>
      </c>
      <c r="I352">
        <v>334043.14777240483</v>
      </c>
      <c r="J352">
        <v>7024657.5382536165</v>
      </c>
      <c r="K352" s="68">
        <v>7515679.659530255</v>
      </c>
    </row>
    <row r="353" spans="1:11" x14ac:dyDescent="0.35">
      <c r="A353">
        <v>353</v>
      </c>
      <c r="B353">
        <v>2.6841531499551775E-69</v>
      </c>
      <c r="C353">
        <v>-1944.5848453343103</v>
      </c>
      <c r="D353">
        <v>-2930.0777417857416</v>
      </c>
      <c r="E353">
        <v>-2962.6845344679073</v>
      </c>
      <c r="F353">
        <v>-1238.9807885159389</v>
      </c>
      <c r="G353">
        <v>2823.4612322469166</v>
      </c>
      <c r="H353">
        <v>50467.390600707644</v>
      </c>
      <c r="I353">
        <v>334393.03008621006</v>
      </c>
      <c r="J353">
        <v>7024870.5514982902</v>
      </c>
      <c r="K353" s="68">
        <v>7515948.4291239204</v>
      </c>
    </row>
    <row r="354" spans="1:11" x14ac:dyDescent="0.35">
      <c r="A354">
        <v>354</v>
      </c>
      <c r="B354">
        <v>1.1318557278850066E-63</v>
      </c>
      <c r="C354">
        <v>-1932.2468447506126</v>
      </c>
      <c r="D354">
        <v>-2911.7355919397201</v>
      </c>
      <c r="E354">
        <v>-2952.4129308218803</v>
      </c>
      <c r="F354">
        <v>-1175.9074512294912</v>
      </c>
      <c r="G354">
        <v>2914.2284263842121</v>
      </c>
      <c r="H354">
        <v>50791.875118719683</v>
      </c>
      <c r="I354">
        <v>334484.38265362295</v>
      </c>
      <c r="J354">
        <v>7025371.7670233222</v>
      </c>
      <c r="K354" s="68">
        <v>7518748.1072248975</v>
      </c>
    </row>
    <row r="355" spans="1:11" x14ac:dyDescent="0.35">
      <c r="A355">
        <v>355</v>
      </c>
      <c r="B355">
        <v>1.9051036627927281E-59</v>
      </c>
      <c r="C355">
        <v>-1887.6722727973358</v>
      </c>
      <c r="D355">
        <v>-2894.1642663850157</v>
      </c>
      <c r="E355">
        <v>-2949.0105088469968</v>
      </c>
      <c r="F355">
        <v>-1163.1769373762318</v>
      </c>
      <c r="G355">
        <v>3057.031473840836</v>
      </c>
      <c r="H355">
        <v>50908.879713325688</v>
      </c>
      <c r="I355">
        <v>334488.69070129225</v>
      </c>
      <c r="J355">
        <v>7025487.8739028359</v>
      </c>
      <c r="K355" s="68">
        <v>7527090.4428130174</v>
      </c>
    </row>
    <row r="356" spans="1:11" x14ac:dyDescent="0.35">
      <c r="A356">
        <v>356</v>
      </c>
      <c r="B356">
        <v>1.4026784511784788E-57</v>
      </c>
      <c r="C356">
        <v>-1847.0927838059943</v>
      </c>
      <c r="D356">
        <v>-2863.8079585722298</v>
      </c>
      <c r="E356">
        <v>-2928.6080408744838</v>
      </c>
      <c r="F356">
        <v>-1148.7620978531854</v>
      </c>
      <c r="G356">
        <v>3077.813638926566</v>
      </c>
      <c r="H356">
        <v>51021.693990673637</v>
      </c>
      <c r="I356">
        <v>334577.79409010062</v>
      </c>
      <c r="J356">
        <v>7026171.4615942826</v>
      </c>
      <c r="K356" s="68">
        <v>7527780.3059717575</v>
      </c>
    </row>
    <row r="357" spans="1:11" x14ac:dyDescent="0.35">
      <c r="A357">
        <v>357</v>
      </c>
      <c r="B357">
        <v>8.4262480029202806E-50</v>
      </c>
      <c r="C357">
        <v>-1833.592844863311</v>
      </c>
      <c r="D357">
        <v>-2831.6736482160295</v>
      </c>
      <c r="E357">
        <v>-2910.7766993945979</v>
      </c>
      <c r="F357">
        <v>-1112.8689165734463</v>
      </c>
      <c r="G357">
        <v>3102.8419281198198</v>
      </c>
      <c r="H357">
        <v>51248.39164989235</v>
      </c>
      <c r="I357">
        <v>335063.41744120407</v>
      </c>
      <c r="J357">
        <v>7027214.9476790791</v>
      </c>
      <c r="K357" s="68">
        <v>7530797.9763967395</v>
      </c>
    </row>
    <row r="358" spans="1:11" x14ac:dyDescent="0.35">
      <c r="A358">
        <v>358</v>
      </c>
      <c r="B358">
        <v>2.1170958434157977E-49</v>
      </c>
      <c r="C358">
        <v>-1831.5093234404922</v>
      </c>
      <c r="D358">
        <v>-2816.4162273746824</v>
      </c>
      <c r="E358">
        <v>-2885.7768746894662</v>
      </c>
      <c r="F358">
        <v>-1056.5887684347235</v>
      </c>
      <c r="G358">
        <v>3105.9461867046812</v>
      </c>
      <c r="H358">
        <v>51543.344181446286</v>
      </c>
      <c r="I358">
        <v>335102.97548814095</v>
      </c>
      <c r="J358">
        <v>7027256.0819480484</v>
      </c>
      <c r="K358" s="68">
        <v>7531918.4254746437</v>
      </c>
    </row>
    <row r="359" spans="1:11" x14ac:dyDescent="0.35">
      <c r="A359">
        <v>359</v>
      </c>
      <c r="B359">
        <v>6.0954989235685987E-49</v>
      </c>
      <c r="C359">
        <v>-1818.743817477314</v>
      </c>
      <c r="D359">
        <v>-2809.6404879356028</v>
      </c>
      <c r="E359">
        <v>-2883.9308216730783</v>
      </c>
      <c r="F359">
        <v>-986.94971538080256</v>
      </c>
      <c r="G359">
        <v>3209.7013072458458</v>
      </c>
      <c r="H359">
        <v>51677.50104663676</v>
      </c>
      <c r="I359">
        <v>335370.7136615162</v>
      </c>
      <c r="J359">
        <v>7030666.6255411599</v>
      </c>
      <c r="K359" s="68">
        <v>7531948.6837993786</v>
      </c>
    </row>
    <row r="360" spans="1:11" x14ac:dyDescent="0.35">
      <c r="A360">
        <v>360</v>
      </c>
      <c r="B360">
        <v>8.0302673088331849E-49</v>
      </c>
      <c r="C360">
        <v>-1806.2916399126134</v>
      </c>
      <c r="D360">
        <v>-2770.2832951626715</v>
      </c>
      <c r="E360">
        <v>-2777.8837352307587</v>
      </c>
      <c r="F360">
        <v>-980.33565718950467</v>
      </c>
      <c r="G360">
        <v>3241.5903836070379</v>
      </c>
      <c r="H360">
        <v>51974.402892457736</v>
      </c>
      <c r="I360">
        <v>335425.57153134036</v>
      </c>
      <c r="J360">
        <v>7031055.7827525288</v>
      </c>
      <c r="K360" s="68">
        <v>7534352.9173749443</v>
      </c>
    </row>
    <row r="361" spans="1:11" x14ac:dyDescent="0.35">
      <c r="A361">
        <v>361</v>
      </c>
      <c r="B361">
        <v>3.857210648785365E-48</v>
      </c>
      <c r="C361">
        <v>-1802.4674673355503</v>
      </c>
      <c r="D361">
        <v>-2667.9324059876817</v>
      </c>
      <c r="E361">
        <v>-2769.1265154359094</v>
      </c>
      <c r="F361">
        <v>-967.15283652361529</v>
      </c>
      <c r="G361">
        <v>3311.3172515414071</v>
      </c>
      <c r="H361">
        <v>52067.339592673889</v>
      </c>
      <c r="I361">
        <v>335797.37054412172</v>
      </c>
      <c r="J361">
        <v>7035273.4733166955</v>
      </c>
      <c r="K361" s="68">
        <v>7536134.3643399309</v>
      </c>
    </row>
    <row r="362" spans="1:11" x14ac:dyDescent="0.35">
      <c r="A362">
        <v>362</v>
      </c>
      <c r="B362">
        <v>4.7300472401689646E-44</v>
      </c>
      <c r="C362">
        <v>-1786.1663715191917</v>
      </c>
      <c r="D362">
        <v>-2626.008027766522</v>
      </c>
      <c r="E362">
        <v>-2680.323163268471</v>
      </c>
      <c r="F362">
        <v>-925.10697785369052</v>
      </c>
      <c r="G362">
        <v>3339.4294245869587</v>
      </c>
      <c r="H362">
        <v>52080.776997578643</v>
      </c>
      <c r="I362">
        <v>335822.58894216659</v>
      </c>
      <c r="J362">
        <v>7036380.38825454</v>
      </c>
      <c r="K362" s="68">
        <v>7538544.2601264734</v>
      </c>
    </row>
    <row r="363" spans="1:11" x14ac:dyDescent="0.35">
      <c r="A363">
        <v>363</v>
      </c>
      <c r="B363">
        <v>3.0935148054832422E-43</v>
      </c>
      <c r="C363">
        <v>-1785.0263807451927</v>
      </c>
      <c r="D363">
        <v>-2617.4120856440186</v>
      </c>
      <c r="E363">
        <v>-2634.4147908024656</v>
      </c>
      <c r="F363">
        <v>-869.93414429284314</v>
      </c>
      <c r="G363">
        <v>3485.3295807492932</v>
      </c>
      <c r="H363">
        <v>52607.275943385313</v>
      </c>
      <c r="I363">
        <v>336146.86335288733</v>
      </c>
      <c r="J363">
        <v>7036823.9688680507</v>
      </c>
      <c r="K363" s="68">
        <v>7539255.436933049</v>
      </c>
    </row>
    <row r="364" spans="1:11" x14ac:dyDescent="0.35">
      <c r="A364">
        <v>364</v>
      </c>
      <c r="B364">
        <v>7.5216299113368967E-43</v>
      </c>
      <c r="C364">
        <v>-1764.8134034245393</v>
      </c>
      <c r="D364">
        <v>-2609.7506240848033</v>
      </c>
      <c r="E364">
        <v>-2566.6214083203508</v>
      </c>
      <c r="F364">
        <v>-853.66071009930488</v>
      </c>
      <c r="G364">
        <v>3558.9545846620495</v>
      </c>
      <c r="H364">
        <v>52740.347737437507</v>
      </c>
      <c r="I364">
        <v>336543.40802343807</v>
      </c>
      <c r="J364">
        <v>7037059.3874824001</v>
      </c>
      <c r="K364" s="68">
        <v>7540967.0430739857</v>
      </c>
    </row>
    <row r="365" spans="1:11" x14ac:dyDescent="0.35">
      <c r="A365">
        <v>365</v>
      </c>
      <c r="B365">
        <v>4.2554849810585474E-42</v>
      </c>
      <c r="C365">
        <v>-1764.2146609599702</v>
      </c>
      <c r="D365">
        <v>-2557.9716582970027</v>
      </c>
      <c r="E365">
        <v>-2530.1515810843766</v>
      </c>
      <c r="F365">
        <v>-796.52385305761527</v>
      </c>
      <c r="G365">
        <v>3579.5957998497815</v>
      </c>
      <c r="H365">
        <v>52894.703963469001</v>
      </c>
      <c r="I365">
        <v>336648.0932790176</v>
      </c>
      <c r="J365">
        <v>7038671.5225502681</v>
      </c>
      <c r="K365" s="68">
        <v>7541787.6030895608</v>
      </c>
    </row>
    <row r="366" spans="1:11" x14ac:dyDescent="0.35">
      <c r="A366">
        <v>366</v>
      </c>
      <c r="B366">
        <v>4.570707399142505E-42</v>
      </c>
      <c r="C366">
        <v>-1762.2443799497471</v>
      </c>
      <c r="D366">
        <v>-2540.04780743229</v>
      </c>
      <c r="E366">
        <v>-2523.9845042715451</v>
      </c>
      <c r="F366">
        <v>-778.58656752005209</v>
      </c>
      <c r="G366">
        <v>3641.4196148423252</v>
      </c>
      <c r="H366">
        <v>52898.861108190758</v>
      </c>
      <c r="I366">
        <v>336863.95846158086</v>
      </c>
      <c r="J366">
        <v>7039578.4538293863</v>
      </c>
      <c r="K366" s="68">
        <v>7542361.1926921103</v>
      </c>
    </row>
    <row r="367" spans="1:11" x14ac:dyDescent="0.35">
      <c r="A367">
        <v>367</v>
      </c>
      <c r="B367">
        <v>1.748191792211466E-40</v>
      </c>
      <c r="C367">
        <v>-1761.1792091000905</v>
      </c>
      <c r="D367">
        <v>-2536.5179822346172</v>
      </c>
      <c r="E367">
        <v>-2475.9243378280944</v>
      </c>
      <c r="F367">
        <v>-757.17823443643556</v>
      </c>
      <c r="G367">
        <v>3647.7271502711669</v>
      </c>
      <c r="H367">
        <v>52967.991252284846</v>
      </c>
      <c r="I367">
        <v>337107.18059923861</v>
      </c>
      <c r="J367">
        <v>7043145.6272419505</v>
      </c>
      <c r="K367" s="68">
        <v>7544135.4607266756</v>
      </c>
    </row>
    <row r="368" spans="1:11" x14ac:dyDescent="0.35">
      <c r="A368">
        <v>368</v>
      </c>
      <c r="B368">
        <v>3.5450263873031658E-40</v>
      </c>
      <c r="C368">
        <v>-1746.4349032963728</v>
      </c>
      <c r="D368">
        <v>-2499.370897203883</v>
      </c>
      <c r="E368">
        <v>-2436.8823388074693</v>
      </c>
      <c r="F368">
        <v>-659.01947980720252</v>
      </c>
      <c r="G368">
        <v>3793.8623240980287</v>
      </c>
      <c r="H368">
        <v>53081.901414586537</v>
      </c>
      <c r="I368">
        <v>337176.23430406733</v>
      </c>
      <c r="J368">
        <v>7043642.5453910278</v>
      </c>
      <c r="K368" s="68">
        <v>7544257.849700762</v>
      </c>
    </row>
    <row r="369" spans="1:11" x14ac:dyDescent="0.35">
      <c r="A369">
        <v>369</v>
      </c>
      <c r="B369">
        <v>6.8055250613058487E-39</v>
      </c>
      <c r="C369">
        <v>-1713.5422887407667</v>
      </c>
      <c r="D369">
        <v>-2495.6450572736853</v>
      </c>
      <c r="E369">
        <v>-2395.7984639931124</v>
      </c>
      <c r="F369">
        <v>-634.50628083409902</v>
      </c>
      <c r="G369">
        <v>3898.7017177108123</v>
      </c>
      <c r="H369">
        <v>53151.203365652138</v>
      </c>
      <c r="I369">
        <v>338194.13466477249</v>
      </c>
      <c r="J369">
        <v>7045488.250820498</v>
      </c>
      <c r="K369" s="68">
        <v>7545979.774449165</v>
      </c>
    </row>
    <row r="370" spans="1:11" x14ac:dyDescent="0.35">
      <c r="A370">
        <v>370</v>
      </c>
      <c r="B370">
        <v>2.4080518225515464E-36</v>
      </c>
      <c r="C370">
        <v>-1696.190183140242</v>
      </c>
      <c r="D370">
        <v>-2460.5518477033747</v>
      </c>
      <c r="E370">
        <v>-2381.5621915629017</v>
      </c>
      <c r="F370">
        <v>-621.62185478400716</v>
      </c>
      <c r="G370">
        <v>3921.3831474537528</v>
      </c>
      <c r="H370">
        <v>53237.626053276246</v>
      </c>
      <c r="I370">
        <v>338431.96766966983</v>
      </c>
      <c r="J370">
        <v>7045955.7520422796</v>
      </c>
      <c r="K370" s="68">
        <v>7548158.2205692101</v>
      </c>
    </row>
    <row r="371" spans="1:11" x14ac:dyDescent="0.35">
      <c r="A371">
        <v>371</v>
      </c>
      <c r="B371">
        <v>3.1940995379408085E-36</v>
      </c>
      <c r="C371">
        <v>-1673.7542028329251</v>
      </c>
      <c r="D371">
        <v>-2440.1533364873994</v>
      </c>
      <c r="E371">
        <v>-2377.1272133103485</v>
      </c>
      <c r="F371">
        <v>-582.97077422993289</v>
      </c>
      <c r="G371">
        <v>3948.356123488571</v>
      </c>
      <c r="H371">
        <v>53686.596118486916</v>
      </c>
      <c r="I371">
        <v>338469.81354216952</v>
      </c>
      <c r="J371">
        <v>7047937.2183542214</v>
      </c>
      <c r="K371" s="68">
        <v>7551170.4968415955</v>
      </c>
    </row>
    <row r="372" spans="1:11" x14ac:dyDescent="0.35">
      <c r="A372">
        <v>372</v>
      </c>
      <c r="B372">
        <v>1.064012558383561E-35</v>
      </c>
      <c r="C372">
        <v>-1671.3715123346449</v>
      </c>
      <c r="D372">
        <v>-2434.072537245801</v>
      </c>
      <c r="E372">
        <v>-2354.7733011686014</v>
      </c>
      <c r="F372">
        <v>-561.9719927702472</v>
      </c>
      <c r="G372">
        <v>3953.2684130895923</v>
      </c>
      <c r="H372">
        <v>53974.381510845888</v>
      </c>
      <c r="I372">
        <v>339755.42800550908</v>
      </c>
      <c r="J372">
        <v>7049574.0612150691</v>
      </c>
      <c r="K372" s="68">
        <v>7552117.4531739401</v>
      </c>
    </row>
    <row r="373" spans="1:11" x14ac:dyDescent="0.35">
      <c r="A373">
        <v>373</v>
      </c>
      <c r="B373">
        <v>1.0459406605001432E-34</v>
      </c>
      <c r="C373">
        <v>-1668.713438906733</v>
      </c>
      <c r="D373">
        <v>-2413.4761689089109</v>
      </c>
      <c r="E373">
        <v>-2338.0662224949319</v>
      </c>
      <c r="F373">
        <v>-511.6431428025794</v>
      </c>
      <c r="G373">
        <v>4057.2963343363758</v>
      </c>
      <c r="H373">
        <v>54021.164876618961</v>
      </c>
      <c r="I373">
        <v>339810.77556225559</v>
      </c>
      <c r="J373">
        <v>7051629.6150871301</v>
      </c>
      <c r="K373" s="68">
        <v>7553243.2944706772</v>
      </c>
    </row>
    <row r="374" spans="1:11" x14ac:dyDescent="0.35">
      <c r="A374">
        <v>374</v>
      </c>
      <c r="B374">
        <v>1.0461224867045875E-34</v>
      </c>
      <c r="C374">
        <v>-1618.5689912951118</v>
      </c>
      <c r="D374">
        <v>-2406.0543522435037</v>
      </c>
      <c r="E374">
        <v>-2296.9382436178248</v>
      </c>
      <c r="F374">
        <v>-505.84970120552742</v>
      </c>
      <c r="G374">
        <v>4199.3394939505451</v>
      </c>
      <c r="H374">
        <v>54094.96966439276</v>
      </c>
      <c r="I374">
        <v>340111.33952670934</v>
      </c>
      <c r="J374">
        <v>7054687.4973113174</v>
      </c>
      <c r="K374" s="68">
        <v>7553777.671124517</v>
      </c>
    </row>
    <row r="375" spans="1:11" x14ac:dyDescent="0.35">
      <c r="A375">
        <v>375</v>
      </c>
      <c r="B375">
        <v>1.7267369594193167E-34</v>
      </c>
      <c r="C375">
        <v>-1593.7928388249243</v>
      </c>
      <c r="D375">
        <v>-2394.9494471441067</v>
      </c>
      <c r="E375">
        <v>-2280.5082671128275</v>
      </c>
      <c r="F375">
        <v>-504.99624624675198</v>
      </c>
      <c r="G375">
        <v>4199.3445955304178</v>
      </c>
      <c r="H375">
        <v>54212.169502356322</v>
      </c>
      <c r="I375">
        <v>340130.16119779239</v>
      </c>
      <c r="J375">
        <v>7054733.1989409514</v>
      </c>
      <c r="K375" s="68">
        <v>7554673.2740481962</v>
      </c>
    </row>
    <row r="376" spans="1:11" x14ac:dyDescent="0.35">
      <c r="A376">
        <v>376</v>
      </c>
      <c r="B376">
        <v>9.0312421439391401E-32</v>
      </c>
      <c r="C376">
        <v>-1573.9383138122212</v>
      </c>
      <c r="D376">
        <v>-2379.5777829267745</v>
      </c>
      <c r="E376">
        <v>-2271.6869370102431</v>
      </c>
      <c r="F376">
        <v>-470.96533398507154</v>
      </c>
      <c r="G376">
        <v>4275.694703573985</v>
      </c>
      <c r="H376">
        <v>54420.088617263566</v>
      </c>
      <c r="I376">
        <v>340433.57226379728</v>
      </c>
      <c r="J376">
        <v>7060064.7226616535</v>
      </c>
      <c r="K376" s="68">
        <v>7555483.4943335215</v>
      </c>
    </row>
    <row r="377" spans="1:11" x14ac:dyDescent="0.35">
      <c r="A377">
        <v>377</v>
      </c>
      <c r="B377">
        <v>2.7436919891126099E-31</v>
      </c>
      <c r="C377">
        <v>-1556.5173402447294</v>
      </c>
      <c r="D377">
        <v>-2368.6508801726854</v>
      </c>
      <c r="E377">
        <v>-2257.902720476126</v>
      </c>
      <c r="F377">
        <v>-448.04401656706796</v>
      </c>
      <c r="G377">
        <v>4284.4582949417672</v>
      </c>
      <c r="H377">
        <v>54442.274223148699</v>
      </c>
      <c r="I377">
        <v>340477.15538625058</v>
      </c>
      <c r="J377">
        <v>7061929.5024757246</v>
      </c>
      <c r="K377" s="68">
        <v>7558362.7065648073</v>
      </c>
    </row>
    <row r="378" spans="1:11" x14ac:dyDescent="0.35">
      <c r="A378">
        <v>378</v>
      </c>
      <c r="B378">
        <v>3.4955294830033294E-31</v>
      </c>
      <c r="C378">
        <v>-1543.9572627325088</v>
      </c>
      <c r="D378">
        <v>-2361.8265358025619</v>
      </c>
      <c r="E378">
        <v>-2235.6993184957746</v>
      </c>
      <c r="F378">
        <v>-432.96108858003663</v>
      </c>
      <c r="G378">
        <v>4300.1359263008308</v>
      </c>
      <c r="H378">
        <v>54785.824522564464</v>
      </c>
      <c r="I378">
        <v>340573.34523059457</v>
      </c>
      <c r="J378">
        <v>7063253.1722531021</v>
      </c>
      <c r="K378" s="68">
        <v>7560727.3541447138</v>
      </c>
    </row>
    <row r="379" spans="1:11" x14ac:dyDescent="0.35">
      <c r="A379">
        <v>379</v>
      </c>
      <c r="B379">
        <v>2.529914192535595E-30</v>
      </c>
      <c r="C379">
        <v>-1537.4820792737423</v>
      </c>
      <c r="D379">
        <v>-2349.820915094977</v>
      </c>
      <c r="E379">
        <v>-2214.917524147651</v>
      </c>
      <c r="F379">
        <v>-423.04795689049195</v>
      </c>
      <c r="G379">
        <v>4302.6318533598769</v>
      </c>
      <c r="H379">
        <v>55274.762944305301</v>
      </c>
      <c r="I379">
        <v>341713.34327798913</v>
      </c>
      <c r="J379">
        <v>7063446.8144174609</v>
      </c>
      <c r="K379" s="68">
        <v>7561902.4037073608</v>
      </c>
    </row>
    <row r="380" spans="1:11" x14ac:dyDescent="0.35">
      <c r="A380">
        <v>380</v>
      </c>
      <c r="B380">
        <v>2.9343505808609233E-30</v>
      </c>
      <c r="C380">
        <v>-1511.9459455561582</v>
      </c>
      <c r="D380">
        <v>-2333.7199547094315</v>
      </c>
      <c r="E380">
        <v>-2191.8753548952704</v>
      </c>
      <c r="F380">
        <v>-339.36613243853213</v>
      </c>
      <c r="G380">
        <v>4325.6551063378392</v>
      </c>
      <c r="H380">
        <v>55374.806007256011</v>
      </c>
      <c r="I380">
        <v>341969.94476010272</v>
      </c>
      <c r="J380">
        <v>7067063.8771977527</v>
      </c>
      <c r="K380" s="68">
        <v>7562171.0316170482</v>
      </c>
    </row>
    <row r="381" spans="1:11" x14ac:dyDescent="0.35">
      <c r="A381">
        <v>381</v>
      </c>
      <c r="B381">
        <v>3.6577562143508879E-29</v>
      </c>
      <c r="C381">
        <v>-1496.779139786948</v>
      </c>
      <c r="D381">
        <v>-2273.8746635839343</v>
      </c>
      <c r="E381">
        <v>-2054.8649494990937</v>
      </c>
      <c r="F381">
        <v>-327.34292548031681</v>
      </c>
      <c r="G381">
        <v>4338.5796566932813</v>
      </c>
      <c r="H381">
        <v>55425.794751825459</v>
      </c>
      <c r="I381">
        <v>342596.72443085688</v>
      </c>
      <c r="J381">
        <v>7068264.4808202293</v>
      </c>
      <c r="K381" s="68">
        <v>7564445.6573769525</v>
      </c>
    </row>
    <row r="382" spans="1:11" x14ac:dyDescent="0.35">
      <c r="A382">
        <v>382</v>
      </c>
      <c r="B382">
        <v>3.6779752131491017E-29</v>
      </c>
      <c r="C382">
        <v>-1455.6427439674862</v>
      </c>
      <c r="D382">
        <v>-2264.6411023195619</v>
      </c>
      <c r="E382">
        <v>-2053.8327998255359</v>
      </c>
      <c r="F382">
        <v>-272.9613612715911</v>
      </c>
      <c r="G382">
        <v>4369.0088138798192</v>
      </c>
      <c r="H382">
        <v>55550.883223830133</v>
      </c>
      <c r="I382">
        <v>342771.33649213915</v>
      </c>
      <c r="J382">
        <v>7071882.27112999</v>
      </c>
      <c r="K382" s="68">
        <v>7565186.8355970746</v>
      </c>
    </row>
    <row r="383" spans="1:11" x14ac:dyDescent="0.35">
      <c r="A383">
        <v>383</v>
      </c>
      <c r="B383">
        <v>4.8282521178581359E-29</v>
      </c>
      <c r="C383">
        <v>-1434.0738099656091</v>
      </c>
      <c r="D383">
        <v>-2250.1829999298948</v>
      </c>
      <c r="E383">
        <v>-1996.8954763548754</v>
      </c>
      <c r="F383">
        <v>-207.21169829083647</v>
      </c>
      <c r="G383">
        <v>4456.3998122313114</v>
      </c>
      <c r="H383">
        <v>55974.575236611374</v>
      </c>
      <c r="I383">
        <v>343187.58163016912</v>
      </c>
      <c r="J383">
        <v>7073055.5147622554</v>
      </c>
      <c r="K383" s="68">
        <v>7566056.2855435573</v>
      </c>
    </row>
    <row r="384" spans="1:11" x14ac:dyDescent="0.35">
      <c r="A384">
        <v>384</v>
      </c>
      <c r="B384">
        <v>3.7008190327439035E-28</v>
      </c>
      <c r="C384">
        <v>-1412.8766371794761</v>
      </c>
      <c r="D384">
        <v>-2245.3399989038107</v>
      </c>
      <c r="E384">
        <v>-1981.9000174382782</v>
      </c>
      <c r="F384">
        <v>-203.94868823742968</v>
      </c>
      <c r="G384">
        <v>4456.6128454743084</v>
      </c>
      <c r="H384">
        <v>55980.329878957775</v>
      </c>
      <c r="I384">
        <v>343682.93758599571</v>
      </c>
      <c r="J384">
        <v>7074561.2956460621</v>
      </c>
      <c r="K384" s="68">
        <v>7566305.4050850067</v>
      </c>
    </row>
    <row r="385" spans="1:11" x14ac:dyDescent="0.35">
      <c r="A385">
        <v>385</v>
      </c>
      <c r="B385">
        <v>4.8795411750590417E-28</v>
      </c>
      <c r="C385">
        <v>-1412.6827905204441</v>
      </c>
      <c r="D385">
        <v>-2218.0916180077002</v>
      </c>
      <c r="E385">
        <v>-1979.6248434016761</v>
      </c>
      <c r="F385">
        <v>-198.02023998029432</v>
      </c>
      <c r="G385">
        <v>4524.5072253488233</v>
      </c>
      <c r="H385">
        <v>56215.877387217319</v>
      </c>
      <c r="I385">
        <v>343743.1783134492</v>
      </c>
      <c r="J385">
        <v>7075567.8079225086</v>
      </c>
      <c r="K385" s="68">
        <v>7572750.9885391332</v>
      </c>
    </row>
    <row r="386" spans="1:11" x14ac:dyDescent="0.35">
      <c r="A386">
        <v>386</v>
      </c>
      <c r="B386">
        <v>7.8515698543554919E-28</v>
      </c>
      <c r="C386">
        <v>-1360.8478288160818</v>
      </c>
      <c r="D386">
        <v>-2169.1306095724867</v>
      </c>
      <c r="E386">
        <v>-1932.368039145987</v>
      </c>
      <c r="F386">
        <v>-196.19959673367885</v>
      </c>
      <c r="G386">
        <v>4594.8664280605753</v>
      </c>
      <c r="H386">
        <v>56454.800388923984</v>
      </c>
      <c r="I386">
        <v>343871.51342665171</v>
      </c>
      <c r="J386">
        <v>7075840.6317367926</v>
      </c>
      <c r="K386" s="68">
        <v>7582785.330833734</v>
      </c>
    </row>
    <row r="387" spans="1:11" x14ac:dyDescent="0.35">
      <c r="A387">
        <v>387</v>
      </c>
      <c r="B387">
        <v>1.2312030316458532E-27</v>
      </c>
      <c r="C387">
        <v>-1350.0783015537327</v>
      </c>
      <c r="D387">
        <v>-2149.9243676909082</v>
      </c>
      <c r="E387">
        <v>-1924.6103554200497</v>
      </c>
      <c r="F387">
        <v>-167.92488981372904</v>
      </c>
      <c r="G387">
        <v>4655.0849435383225</v>
      </c>
      <c r="H387">
        <v>56496.293694906468</v>
      </c>
      <c r="I387">
        <v>343929.35877717356</v>
      </c>
      <c r="J387">
        <v>7080687.7004012186</v>
      </c>
      <c r="K387" s="68">
        <v>7582830.679986544</v>
      </c>
    </row>
    <row r="388" spans="1:11" x14ac:dyDescent="0.35">
      <c r="A388">
        <v>388</v>
      </c>
      <c r="B388">
        <v>1.4224893822844367E-27</v>
      </c>
      <c r="C388">
        <v>-1332.9406057039419</v>
      </c>
      <c r="D388">
        <v>-2146.2225924322756</v>
      </c>
      <c r="E388">
        <v>-1883.2458955090451</v>
      </c>
      <c r="F388">
        <v>-37.329244234251568</v>
      </c>
      <c r="G388">
        <v>4816.8288525656972</v>
      </c>
      <c r="H388">
        <v>56539.645297660158</v>
      </c>
      <c r="I388">
        <v>344628.29648832389</v>
      </c>
      <c r="J388">
        <v>7081615.326534952</v>
      </c>
      <c r="K388" s="68">
        <v>7583918.0831043376</v>
      </c>
    </row>
    <row r="389" spans="1:11" x14ac:dyDescent="0.35">
      <c r="A389">
        <v>389</v>
      </c>
      <c r="B389">
        <v>2.1856698098888088E-27</v>
      </c>
      <c r="C389">
        <v>-1320.9825773037237</v>
      </c>
      <c r="D389">
        <v>-2139.2621755421569</v>
      </c>
      <c r="E389">
        <v>-1819.6683073266022</v>
      </c>
      <c r="F389">
        <v>-36.239312232845151</v>
      </c>
      <c r="G389">
        <v>4833.4289732331281</v>
      </c>
      <c r="H389">
        <v>56633.67799161603</v>
      </c>
      <c r="I389">
        <v>345351.92443669407</v>
      </c>
      <c r="J389">
        <v>7083971.1684275158</v>
      </c>
      <c r="K389" s="68">
        <v>7584358.4080007141</v>
      </c>
    </row>
    <row r="390" spans="1:11" x14ac:dyDescent="0.35">
      <c r="A390">
        <v>390</v>
      </c>
      <c r="B390">
        <v>4.4256946885884601E-27</v>
      </c>
      <c r="C390">
        <v>-1293.0106280122875</v>
      </c>
      <c r="D390">
        <v>-2087.1439942321917</v>
      </c>
      <c r="E390">
        <v>-1811.2355439186367</v>
      </c>
      <c r="F390">
        <v>-1.428805563018102</v>
      </c>
      <c r="G390">
        <v>4899.2803779357282</v>
      </c>
      <c r="H390">
        <v>56680.218692788701</v>
      </c>
      <c r="I390">
        <v>346078.39540781139</v>
      </c>
      <c r="J390">
        <v>7085169.2284335298</v>
      </c>
      <c r="K390" s="68">
        <v>7586683.9696820881</v>
      </c>
    </row>
    <row r="391" spans="1:11" x14ac:dyDescent="0.35">
      <c r="A391">
        <v>391</v>
      </c>
      <c r="B391">
        <v>2.2741026547653586E-26</v>
      </c>
      <c r="C391">
        <v>-1253.9358242755934</v>
      </c>
      <c r="D391">
        <v>-2061.9419231950128</v>
      </c>
      <c r="E391">
        <v>-1808.4430889465398</v>
      </c>
      <c r="F391">
        <v>0.37494063100706176</v>
      </c>
      <c r="G391">
        <v>4941.6200977286262</v>
      </c>
      <c r="H391">
        <v>56787.835209085701</v>
      </c>
      <c r="I391">
        <v>346828.10873558366</v>
      </c>
      <c r="J391">
        <v>7085609.1553170728</v>
      </c>
      <c r="K391" s="68">
        <v>7589654.8295060685</v>
      </c>
    </row>
    <row r="392" spans="1:11" x14ac:dyDescent="0.35">
      <c r="A392">
        <v>392</v>
      </c>
      <c r="B392">
        <v>2.812279142967889E-26</v>
      </c>
      <c r="C392">
        <v>-1250.4015634432428</v>
      </c>
      <c r="D392">
        <v>-2029.1617922539126</v>
      </c>
      <c r="E392">
        <v>-1805.9674143355221</v>
      </c>
      <c r="F392">
        <v>8.6220473811109724</v>
      </c>
      <c r="G392">
        <v>4963.0789593584741</v>
      </c>
      <c r="H392">
        <v>56836.685179991517</v>
      </c>
      <c r="I392">
        <v>347058.89350517583</v>
      </c>
      <c r="J392">
        <v>7086192.5642837016</v>
      </c>
      <c r="K392" s="68">
        <v>7593612.9868194945</v>
      </c>
    </row>
    <row r="393" spans="1:11" x14ac:dyDescent="0.35">
      <c r="A393">
        <v>393</v>
      </c>
      <c r="B393">
        <v>3.1999212851210171E-26</v>
      </c>
      <c r="C393">
        <v>-1247.1661018878142</v>
      </c>
      <c r="D393">
        <v>-1976.9201058180497</v>
      </c>
      <c r="E393">
        <v>-1779.7271861988747</v>
      </c>
      <c r="F393">
        <v>24.103171924251001</v>
      </c>
      <c r="G393">
        <v>5052.5498850316108</v>
      </c>
      <c r="H393">
        <v>57221.63706222787</v>
      </c>
      <c r="I393">
        <v>347489.05169662263</v>
      </c>
      <c r="J393">
        <v>7086824.6603745418</v>
      </c>
      <c r="K393" s="68">
        <v>7594459.4904078459</v>
      </c>
    </row>
    <row r="394" spans="1:11" x14ac:dyDescent="0.35">
      <c r="A394">
        <v>394</v>
      </c>
      <c r="B394">
        <v>3.4828527113708715E-26</v>
      </c>
      <c r="C394">
        <v>-1243.3827693016437</v>
      </c>
      <c r="D394">
        <v>-1959.8754666540033</v>
      </c>
      <c r="E394">
        <v>-1779.1324177945885</v>
      </c>
      <c r="F394">
        <v>34.151217391821497</v>
      </c>
      <c r="G394">
        <v>5052.8656276343709</v>
      </c>
      <c r="H394">
        <v>57293.014463547464</v>
      </c>
      <c r="I394">
        <v>347605.63984990842</v>
      </c>
      <c r="J394">
        <v>7088290.9325374486</v>
      </c>
      <c r="K394" s="68">
        <v>7594683.3664516313</v>
      </c>
    </row>
    <row r="395" spans="1:11" x14ac:dyDescent="0.35">
      <c r="A395">
        <v>395</v>
      </c>
      <c r="B395">
        <v>1.4728959392836711E-25</v>
      </c>
      <c r="C395">
        <v>-1223.9356555266904</v>
      </c>
      <c r="D395">
        <v>-1952.2959460134002</v>
      </c>
      <c r="E395">
        <v>-1775.9612774376706</v>
      </c>
      <c r="F395">
        <v>64.122006782756557</v>
      </c>
      <c r="G395">
        <v>5214.1368022288198</v>
      </c>
      <c r="H395">
        <v>57341.308519493825</v>
      </c>
      <c r="I395">
        <v>348127.0684636925</v>
      </c>
      <c r="J395">
        <v>7091964.7685121493</v>
      </c>
      <c r="K395" s="68">
        <v>7594781.2007753197</v>
      </c>
    </row>
    <row r="396" spans="1:11" x14ac:dyDescent="0.35">
      <c r="A396">
        <v>396</v>
      </c>
      <c r="B396">
        <v>2.1087991975671672E-25</v>
      </c>
      <c r="C396">
        <v>-1192.9781774910846</v>
      </c>
      <c r="D396">
        <v>-1942.3066618890377</v>
      </c>
      <c r="E396">
        <v>-1727.8160281405953</v>
      </c>
      <c r="F396">
        <v>65.728960286457308</v>
      </c>
      <c r="G396">
        <v>5300.3596060078435</v>
      </c>
      <c r="H396">
        <v>57502.640826670577</v>
      </c>
      <c r="I396">
        <v>348169.41579481267</v>
      </c>
      <c r="J396">
        <v>7101225.708689319</v>
      </c>
      <c r="K396" s="68">
        <v>7595897.9226484345</v>
      </c>
    </row>
    <row r="397" spans="1:11" x14ac:dyDescent="0.35">
      <c r="A397">
        <v>397</v>
      </c>
      <c r="B397">
        <v>5.2471236159738675E-24</v>
      </c>
      <c r="C397">
        <v>-1182.9988935142756</v>
      </c>
      <c r="D397">
        <v>-1938.0902593541718</v>
      </c>
      <c r="E397">
        <v>-1686.9350791069994</v>
      </c>
      <c r="F397">
        <v>72.431345184193347</v>
      </c>
      <c r="G397">
        <v>5319.318622158602</v>
      </c>
      <c r="H397">
        <v>57657.627433966278</v>
      </c>
      <c r="I397">
        <v>348243.96364546404</v>
      </c>
      <c r="J397">
        <v>7102036.8018648876</v>
      </c>
      <c r="K397" s="68">
        <v>7596167.6726356335</v>
      </c>
    </row>
    <row r="398" spans="1:11" x14ac:dyDescent="0.35">
      <c r="A398">
        <v>398</v>
      </c>
      <c r="B398">
        <v>7.1257600219577849E-24</v>
      </c>
      <c r="C398">
        <v>-1173.6477561055278</v>
      </c>
      <c r="D398">
        <v>-1933.4392410984783</v>
      </c>
      <c r="E398">
        <v>-1676.4919807360429</v>
      </c>
      <c r="F398">
        <v>80.104187317113428</v>
      </c>
      <c r="G398">
        <v>5357.6396870287826</v>
      </c>
      <c r="H398">
        <v>58152.433613675385</v>
      </c>
      <c r="I398">
        <v>348303.13681929425</v>
      </c>
      <c r="J398">
        <v>7102368.7517607491</v>
      </c>
      <c r="K398" s="68">
        <v>7601654.2243963629</v>
      </c>
    </row>
    <row r="399" spans="1:11" x14ac:dyDescent="0.35">
      <c r="A399">
        <v>399</v>
      </c>
      <c r="B399">
        <v>2.5163584189434984E-23</v>
      </c>
      <c r="C399">
        <v>-1128.0166111692113</v>
      </c>
      <c r="D399">
        <v>-1906.8850440815363</v>
      </c>
      <c r="E399">
        <v>-1657.5966413627634</v>
      </c>
      <c r="F399">
        <v>80.920944176288785</v>
      </c>
      <c r="G399">
        <v>5372.2157470398452</v>
      </c>
      <c r="H399">
        <v>58188.309954155964</v>
      </c>
      <c r="I399">
        <v>348312.38921668578</v>
      </c>
      <c r="J399">
        <v>7105552.0562468003</v>
      </c>
      <c r="K399" s="68">
        <v>7603214.8448462952</v>
      </c>
    </row>
    <row r="400" spans="1:11" x14ac:dyDescent="0.35">
      <c r="A400">
        <v>400</v>
      </c>
      <c r="B400">
        <v>2.9876200594254919E-23</v>
      </c>
      <c r="C400">
        <v>-1124.6808123022984</v>
      </c>
      <c r="D400">
        <v>-1894.3620098640126</v>
      </c>
      <c r="E400">
        <v>-1609.1335677886882</v>
      </c>
      <c r="F400">
        <v>92.409622102597638</v>
      </c>
      <c r="G400">
        <v>5517.4360950097262</v>
      </c>
      <c r="H400">
        <v>58438.08799128548</v>
      </c>
      <c r="I400">
        <v>348731.37907816697</v>
      </c>
      <c r="J400">
        <v>7107682.9030764429</v>
      </c>
      <c r="K400" s="68">
        <v>7607263.0510625159</v>
      </c>
    </row>
    <row r="401" spans="1:11" x14ac:dyDescent="0.35">
      <c r="A401">
        <v>401</v>
      </c>
      <c r="B401">
        <v>3.9870175422604532E-23</v>
      </c>
      <c r="C401">
        <v>-1116.462943906701</v>
      </c>
      <c r="D401">
        <v>-1880.1861401219819</v>
      </c>
      <c r="E401">
        <v>-1602.0591754260029</v>
      </c>
      <c r="F401">
        <v>126.62212320376614</v>
      </c>
      <c r="G401">
        <v>5542.089102591367</v>
      </c>
      <c r="H401">
        <v>58592.879494233217</v>
      </c>
      <c r="I401">
        <v>349210.37760272023</v>
      </c>
      <c r="J401">
        <v>7109160.029970617</v>
      </c>
      <c r="K401" s="68">
        <v>7608844.0326368827</v>
      </c>
    </row>
    <row r="402" spans="1:11" x14ac:dyDescent="0.35">
      <c r="A402">
        <v>402</v>
      </c>
      <c r="B402">
        <v>4.0698606761522493E-23</v>
      </c>
      <c r="C402">
        <v>-1102.4664879889815</v>
      </c>
      <c r="D402">
        <v>-1879.1611341616881</v>
      </c>
      <c r="E402">
        <v>-1515.7494182735377</v>
      </c>
      <c r="F402">
        <v>131.49259620660715</v>
      </c>
      <c r="G402">
        <v>5572.9041630672245</v>
      </c>
      <c r="H402">
        <v>58717.03620422219</v>
      </c>
      <c r="I402">
        <v>349227.88725508394</v>
      </c>
      <c r="J402">
        <v>7109295.7114791749</v>
      </c>
      <c r="K402" s="68">
        <v>7609327.7986750901</v>
      </c>
    </row>
    <row r="403" spans="1:11" x14ac:dyDescent="0.35">
      <c r="A403">
        <v>403</v>
      </c>
      <c r="B403">
        <v>5.01809701503239E-23</v>
      </c>
      <c r="C403">
        <v>-1097.700290527747</v>
      </c>
      <c r="D403">
        <v>-1877.6622925985</v>
      </c>
      <c r="E403">
        <v>-1476.7653363744166</v>
      </c>
      <c r="F403">
        <v>139.73227269349263</v>
      </c>
      <c r="G403">
        <v>5592.6501942834475</v>
      </c>
      <c r="H403">
        <v>58798.384536624217</v>
      </c>
      <c r="I403">
        <v>350012.75217346824</v>
      </c>
      <c r="J403">
        <v>7110059.5614196518</v>
      </c>
      <c r="K403" s="68">
        <v>7609855.1082485504</v>
      </c>
    </row>
    <row r="404" spans="1:11" x14ac:dyDescent="0.35">
      <c r="A404">
        <v>404</v>
      </c>
      <c r="B404">
        <v>1.3076437955937609E-21</v>
      </c>
      <c r="C404">
        <v>-1063.0283774706195</v>
      </c>
      <c r="D404">
        <v>-1841.2027627623002</v>
      </c>
      <c r="E404">
        <v>-1471.4197253688576</v>
      </c>
      <c r="F404">
        <v>140.13848378353507</v>
      </c>
      <c r="G404">
        <v>5610.8342089033258</v>
      </c>
      <c r="H404">
        <v>58968.312255437726</v>
      </c>
      <c r="I404">
        <v>350345.95218331803</v>
      </c>
      <c r="J404">
        <v>7110796.7255610991</v>
      </c>
      <c r="K404" s="68">
        <v>7611010.1264549717</v>
      </c>
    </row>
    <row r="405" spans="1:11" x14ac:dyDescent="0.35">
      <c r="A405">
        <v>405</v>
      </c>
      <c r="B405">
        <v>2.2947356262267746E-21</v>
      </c>
      <c r="C405">
        <v>-969.59161569786977</v>
      </c>
      <c r="D405">
        <v>-1835.5413083681306</v>
      </c>
      <c r="E405">
        <v>-1437.4290128124212</v>
      </c>
      <c r="F405">
        <v>154.92852927880153</v>
      </c>
      <c r="G405">
        <v>5638.2171679334206</v>
      </c>
      <c r="H405">
        <v>58993.456284164669</v>
      </c>
      <c r="I405">
        <v>350358.18641684111</v>
      </c>
      <c r="J405">
        <v>7121541.8193459455</v>
      </c>
      <c r="K405" s="68">
        <v>7612719.7739617117</v>
      </c>
    </row>
    <row r="406" spans="1:11" x14ac:dyDescent="0.35">
      <c r="A406">
        <v>406</v>
      </c>
      <c r="B406">
        <v>3.463063764939738E-21</v>
      </c>
      <c r="C406">
        <v>-955.84556029479495</v>
      </c>
      <c r="D406">
        <v>-1832.2720542347065</v>
      </c>
      <c r="E406">
        <v>-1418.6097911007619</v>
      </c>
      <c r="F406">
        <v>163.09799665500717</v>
      </c>
      <c r="G406">
        <v>5642.4461617381849</v>
      </c>
      <c r="H406">
        <v>59265.014059082932</v>
      </c>
      <c r="I406">
        <v>350449.52393535478</v>
      </c>
      <c r="J406">
        <v>7122336.5414017327</v>
      </c>
      <c r="K406" s="68">
        <v>7613254.7196370577</v>
      </c>
    </row>
    <row r="407" spans="1:11" x14ac:dyDescent="0.35">
      <c r="A407">
        <v>407</v>
      </c>
      <c r="B407">
        <v>1.2304905957892861E-20</v>
      </c>
      <c r="C407">
        <v>-938.93460413303001</v>
      </c>
      <c r="D407">
        <v>-1823.1295316613121</v>
      </c>
      <c r="E407">
        <v>-1408.2207066607853</v>
      </c>
      <c r="F407">
        <v>188.74603518306139</v>
      </c>
      <c r="G407">
        <v>5763.9107633711301</v>
      </c>
      <c r="H407">
        <v>59365.126366021388</v>
      </c>
      <c r="I407">
        <v>351249.86294669338</v>
      </c>
      <c r="J407">
        <v>7122797.0656329254</v>
      </c>
      <c r="K407" s="68">
        <v>7613605.4675390813</v>
      </c>
    </row>
    <row r="408" spans="1:11" x14ac:dyDescent="0.35">
      <c r="A408">
        <v>408</v>
      </c>
      <c r="B408">
        <v>2.1181829716713137E-20</v>
      </c>
      <c r="C408">
        <v>-926.00662176135609</v>
      </c>
      <c r="D408">
        <v>-1814.942900000269</v>
      </c>
      <c r="E408">
        <v>-1368.981048230316</v>
      </c>
      <c r="F408">
        <v>195.97953841934941</v>
      </c>
      <c r="G408">
        <v>5811.8171771249481</v>
      </c>
      <c r="H408">
        <v>59700.753173520701</v>
      </c>
      <c r="I408">
        <v>351464.96572003351</v>
      </c>
      <c r="J408">
        <v>7122940.4877717672</v>
      </c>
      <c r="K408" s="68">
        <v>7615075.4215983283</v>
      </c>
    </row>
    <row r="409" spans="1:11" x14ac:dyDescent="0.35">
      <c r="A409">
        <v>409</v>
      </c>
      <c r="B409">
        <v>3.8673024223708464E-19</v>
      </c>
      <c r="C409">
        <v>-862.64046598624338</v>
      </c>
      <c r="D409">
        <v>-1809.5650251522322</v>
      </c>
      <c r="E409">
        <v>-1355.0723323435413</v>
      </c>
      <c r="F409">
        <v>200.02160553318845</v>
      </c>
      <c r="G409">
        <v>5833.0247951674264</v>
      </c>
      <c r="H409">
        <v>59737.621596053716</v>
      </c>
      <c r="I409">
        <v>351887.04733195668</v>
      </c>
      <c r="J409">
        <v>7123941.5396220675</v>
      </c>
      <c r="K409" s="68">
        <v>7615290.6505691335</v>
      </c>
    </row>
    <row r="410" spans="1:11" x14ac:dyDescent="0.35">
      <c r="A410">
        <v>410</v>
      </c>
      <c r="B410">
        <v>1.2948310995597917E-18</v>
      </c>
      <c r="C410">
        <v>-856.02206589281559</v>
      </c>
      <c r="D410">
        <v>-1807.8933223987276</v>
      </c>
      <c r="E410">
        <v>-1312.3368745545231</v>
      </c>
      <c r="F410">
        <v>210.85318001167838</v>
      </c>
      <c r="G410">
        <v>5902.4225996549849</v>
      </c>
      <c r="H410">
        <v>59768.66213268711</v>
      </c>
      <c r="I410">
        <v>351888.01079881546</v>
      </c>
      <c r="J410">
        <v>7125838.6036196137</v>
      </c>
      <c r="K410" s="68">
        <v>7618563.8684529243</v>
      </c>
    </row>
    <row r="411" spans="1:11" x14ac:dyDescent="0.35">
      <c r="A411">
        <v>411</v>
      </c>
      <c r="B411">
        <v>1.4910217346678469E-18</v>
      </c>
      <c r="C411">
        <v>-837.75974415966709</v>
      </c>
      <c r="D411">
        <v>-1807.6850649209734</v>
      </c>
      <c r="E411">
        <v>-1247.8504231563857</v>
      </c>
      <c r="F411">
        <v>218.09004368046629</v>
      </c>
      <c r="G411">
        <v>5936.1775617744206</v>
      </c>
      <c r="H411">
        <v>60034.224727478984</v>
      </c>
      <c r="I411">
        <v>351989.35139363725</v>
      </c>
      <c r="J411">
        <v>7127085.8121673297</v>
      </c>
      <c r="K411" s="68">
        <v>7618879.943517766</v>
      </c>
    </row>
    <row r="412" spans="1:11" x14ac:dyDescent="0.35">
      <c r="A412">
        <v>412</v>
      </c>
      <c r="B412">
        <v>3.9643778156024748E-18</v>
      </c>
      <c r="C412">
        <v>-828.61845195293427</v>
      </c>
      <c r="D412">
        <v>-1753.5961614806861</v>
      </c>
      <c r="E412">
        <v>-1237.7498376329104</v>
      </c>
      <c r="F412">
        <v>239.29924884858656</v>
      </c>
      <c r="G412">
        <v>5995.250114344155</v>
      </c>
      <c r="H412">
        <v>60129.33072030465</v>
      </c>
      <c r="I412">
        <v>351995.1132934654</v>
      </c>
      <c r="J412">
        <v>7127243.4957286585</v>
      </c>
      <c r="K412" s="68">
        <v>7621712.1940106982</v>
      </c>
    </row>
    <row r="413" spans="1:11" x14ac:dyDescent="0.35">
      <c r="A413">
        <v>413</v>
      </c>
      <c r="B413">
        <v>6.730120483919019E-18</v>
      </c>
      <c r="C413">
        <v>-789.30800759620877</v>
      </c>
      <c r="D413">
        <v>-1706.7484224490063</v>
      </c>
      <c r="E413">
        <v>-1210.8300011992142</v>
      </c>
      <c r="F413">
        <v>301.65258559759144</v>
      </c>
      <c r="G413">
        <v>6002.2044025643363</v>
      </c>
      <c r="H413">
        <v>60160.423529334264</v>
      </c>
      <c r="I413">
        <v>352205.15105161502</v>
      </c>
      <c r="J413">
        <v>7129271.8635768117</v>
      </c>
      <c r="K413" s="68">
        <v>7622701.9954777434</v>
      </c>
    </row>
    <row r="414" spans="1:11" x14ac:dyDescent="0.35">
      <c r="A414">
        <v>414</v>
      </c>
      <c r="B414">
        <v>1.2494051610895151E-17</v>
      </c>
      <c r="C414">
        <v>-769.34621547284837</v>
      </c>
      <c r="D414">
        <v>-1701.5402094815236</v>
      </c>
      <c r="E414">
        <v>-1194.7133504850274</v>
      </c>
      <c r="F414">
        <v>320.86713543311805</v>
      </c>
      <c r="G414">
        <v>6015.9663975510648</v>
      </c>
      <c r="H414">
        <v>60530.292769671767</v>
      </c>
      <c r="I414">
        <v>353395.0862551789</v>
      </c>
      <c r="J414">
        <v>7130789.8132862914</v>
      </c>
      <c r="K414" s="68">
        <v>7622929.4339763653</v>
      </c>
    </row>
    <row r="415" spans="1:11" x14ac:dyDescent="0.35">
      <c r="A415">
        <v>415</v>
      </c>
      <c r="B415">
        <v>1.2877523962856688E-17</v>
      </c>
      <c r="C415">
        <v>-768.0634648715743</v>
      </c>
      <c r="D415">
        <v>-1678.4321142831559</v>
      </c>
      <c r="E415">
        <v>-1190.6850927018338</v>
      </c>
      <c r="F415">
        <v>330.43355744744201</v>
      </c>
      <c r="G415">
        <v>6020.6715150999562</v>
      </c>
      <c r="H415">
        <v>60635.726163667518</v>
      </c>
      <c r="I415">
        <v>353474.26030436897</v>
      </c>
      <c r="J415">
        <v>7131162.8340189019</v>
      </c>
      <c r="K415" s="68">
        <v>7623101.6697050063</v>
      </c>
    </row>
    <row r="416" spans="1:11" x14ac:dyDescent="0.35">
      <c r="A416">
        <v>416</v>
      </c>
      <c r="B416">
        <v>1.9156290355429979E-17</v>
      </c>
      <c r="C416">
        <v>-767.25748105441471</v>
      </c>
      <c r="D416">
        <v>-1675.5121206030281</v>
      </c>
      <c r="E416">
        <v>-1157.6477939235665</v>
      </c>
      <c r="F416">
        <v>330.74094449226283</v>
      </c>
      <c r="G416">
        <v>6080.6713898747648</v>
      </c>
      <c r="H416">
        <v>60945.666490900461</v>
      </c>
      <c r="I416">
        <v>353651.20536226075</v>
      </c>
      <c r="J416">
        <v>7131831.1091252565</v>
      </c>
      <c r="K416" s="68">
        <v>7623211.0391058158</v>
      </c>
    </row>
    <row r="417" spans="1:11" x14ac:dyDescent="0.35">
      <c r="A417">
        <v>417</v>
      </c>
      <c r="B417">
        <v>3.3804322874191592E-17</v>
      </c>
      <c r="C417">
        <v>-763.87354970697743</v>
      </c>
      <c r="D417">
        <v>-1657.3242870121765</v>
      </c>
      <c r="E417">
        <v>-1054.4589404562585</v>
      </c>
      <c r="F417">
        <v>352.82123678345488</v>
      </c>
      <c r="G417">
        <v>6138.9887747434195</v>
      </c>
      <c r="H417">
        <v>60993.060943649201</v>
      </c>
      <c r="I417">
        <v>353701.71186102519</v>
      </c>
      <c r="J417">
        <v>7137739.7414559098</v>
      </c>
      <c r="K417" s="68">
        <v>7623504.6632842515</v>
      </c>
    </row>
    <row r="418" spans="1:11" x14ac:dyDescent="0.35">
      <c r="A418">
        <v>418</v>
      </c>
      <c r="B418">
        <v>5.4471883273705828E-17</v>
      </c>
      <c r="C418">
        <v>-761.07633981572087</v>
      </c>
      <c r="D418">
        <v>-1633.0866060375952</v>
      </c>
      <c r="E418">
        <v>-1044.6681843933643</v>
      </c>
      <c r="F418">
        <v>353.89332229684078</v>
      </c>
      <c r="G418">
        <v>6187.2080721896709</v>
      </c>
      <c r="H418">
        <v>61074.796551036045</v>
      </c>
      <c r="I418">
        <v>353858.89457356173</v>
      </c>
      <c r="J418">
        <v>7141725.7402210245</v>
      </c>
      <c r="K418" s="68">
        <v>7623666.2304077949</v>
      </c>
    </row>
    <row r="419" spans="1:11" x14ac:dyDescent="0.35">
      <c r="A419">
        <v>419</v>
      </c>
      <c r="B419">
        <v>6.7273759940949035E-17</v>
      </c>
      <c r="C419">
        <v>-713.8156682255252</v>
      </c>
      <c r="D419">
        <v>-1610.2653343070833</v>
      </c>
      <c r="E419">
        <v>-1040.7551828628866</v>
      </c>
      <c r="F419">
        <v>385.81483850062017</v>
      </c>
      <c r="G419">
        <v>6223.7879195099158</v>
      </c>
      <c r="H419">
        <v>61100.768959121357</v>
      </c>
      <c r="I419">
        <v>353903.87115175521</v>
      </c>
      <c r="J419">
        <v>7142960.7878934285</v>
      </c>
      <c r="K419" s="68">
        <v>7624232.9091944322</v>
      </c>
    </row>
    <row r="420" spans="1:11" x14ac:dyDescent="0.35">
      <c r="A420">
        <v>420</v>
      </c>
      <c r="B420">
        <v>1.0582751057040359E-16</v>
      </c>
      <c r="C420">
        <v>-711.19724252411652</v>
      </c>
      <c r="D420">
        <v>-1558.8535447015747</v>
      </c>
      <c r="E420">
        <v>-1016.3892481754699</v>
      </c>
      <c r="F420">
        <v>404.62891966361047</v>
      </c>
      <c r="G420">
        <v>6305.3478095252267</v>
      </c>
      <c r="H420">
        <v>61129.536562620924</v>
      </c>
      <c r="I420">
        <v>354354.37048718217</v>
      </c>
      <c r="J420">
        <v>7143309.6886366382</v>
      </c>
      <c r="K420" s="68">
        <v>7624645.7976742908</v>
      </c>
    </row>
    <row r="421" spans="1:11" x14ac:dyDescent="0.35">
      <c r="A421">
        <v>421</v>
      </c>
      <c r="B421">
        <v>1.9348810708761205E-16</v>
      </c>
      <c r="C421">
        <v>-700.97730552470659</v>
      </c>
      <c r="D421">
        <v>-1544.4245366191481</v>
      </c>
      <c r="E421">
        <v>-1005.7012340985137</v>
      </c>
      <c r="F421">
        <v>411.01388567272784</v>
      </c>
      <c r="G421">
        <v>6321.9985851828387</v>
      </c>
      <c r="H421">
        <v>61287.906051324084</v>
      </c>
      <c r="I421">
        <v>354596.30308917118</v>
      </c>
      <c r="J421">
        <v>7144828.7969975807</v>
      </c>
      <c r="K421" s="68">
        <v>7625964.6123829577</v>
      </c>
    </row>
    <row r="422" spans="1:11" x14ac:dyDescent="0.35">
      <c r="A422">
        <v>422</v>
      </c>
      <c r="B422">
        <v>2.1310908834457669E-16</v>
      </c>
      <c r="C422">
        <v>-658.16850784037933</v>
      </c>
      <c r="D422">
        <v>-1469.3840005402658</v>
      </c>
      <c r="E422">
        <v>-994.16741383777571</v>
      </c>
      <c r="F422">
        <v>432.01845594214114</v>
      </c>
      <c r="G422">
        <v>6354.2911775925686</v>
      </c>
      <c r="H422">
        <v>61376.22399082742</v>
      </c>
      <c r="I422">
        <v>354873.73494939838</v>
      </c>
      <c r="J422">
        <v>7146482.4686339125</v>
      </c>
      <c r="K422" s="68">
        <v>7627130.8658858761</v>
      </c>
    </row>
    <row r="423" spans="1:11" x14ac:dyDescent="0.35">
      <c r="A423">
        <v>423</v>
      </c>
      <c r="B423">
        <v>2.4175270153964758E-16</v>
      </c>
      <c r="C423">
        <v>-638.66557278475671</v>
      </c>
      <c r="D423">
        <v>-1451.0800587304145</v>
      </c>
      <c r="E423">
        <v>-981.57248360285735</v>
      </c>
      <c r="F423">
        <v>433.03477391403135</v>
      </c>
      <c r="G423">
        <v>6490.4173233238143</v>
      </c>
      <c r="H423">
        <v>61578.359064229357</v>
      </c>
      <c r="I423">
        <v>355235.07484759059</v>
      </c>
      <c r="J423">
        <v>7146865.5734468717</v>
      </c>
      <c r="K423" s="68">
        <v>7629268.2642651936</v>
      </c>
    </row>
    <row r="424" spans="1:11" x14ac:dyDescent="0.35">
      <c r="A424">
        <v>424</v>
      </c>
      <c r="B424">
        <v>3.03148757935292E-16</v>
      </c>
      <c r="C424">
        <v>-621.42637848912489</v>
      </c>
      <c r="D424">
        <v>-1450.9753062080456</v>
      </c>
      <c r="E424">
        <v>-961.44252855417767</v>
      </c>
      <c r="F424">
        <v>474.71070744141542</v>
      </c>
      <c r="G424">
        <v>6500.9136524473379</v>
      </c>
      <c r="H424">
        <v>61667.909983255908</v>
      </c>
      <c r="I424">
        <v>355245.75742430543</v>
      </c>
      <c r="J424">
        <v>7147382.8467187611</v>
      </c>
      <c r="K424" s="68">
        <v>7632481.7975543896</v>
      </c>
    </row>
    <row r="425" spans="1:11" x14ac:dyDescent="0.35">
      <c r="A425">
        <v>425</v>
      </c>
      <c r="B425">
        <v>5.6301456828440997E-16</v>
      </c>
      <c r="C425">
        <v>-619.59698851478652</v>
      </c>
      <c r="D425">
        <v>-1440.2681454237336</v>
      </c>
      <c r="E425">
        <v>-947.37322476212296</v>
      </c>
      <c r="F425">
        <v>498.23767958142707</v>
      </c>
      <c r="G425">
        <v>6564.4448346722038</v>
      </c>
      <c r="H425">
        <v>61725.686588857992</v>
      </c>
      <c r="I425">
        <v>355269.9116495956</v>
      </c>
      <c r="J425">
        <v>7148603.8797278078</v>
      </c>
      <c r="K425" s="68">
        <v>7633911.840836551</v>
      </c>
    </row>
    <row r="426" spans="1:11" x14ac:dyDescent="0.35">
      <c r="A426">
        <v>426</v>
      </c>
      <c r="B426">
        <v>6.0672985829467996E-16</v>
      </c>
      <c r="C426">
        <v>-606.33066533334886</v>
      </c>
      <c r="D426">
        <v>-1410.7000328677477</v>
      </c>
      <c r="E426">
        <v>-943.53054649649221</v>
      </c>
      <c r="F426">
        <v>502.98500973363031</v>
      </c>
      <c r="G426">
        <v>6624.2721598011522</v>
      </c>
      <c r="H426">
        <v>61780.662769387483</v>
      </c>
      <c r="I426">
        <v>355300.87889382103</v>
      </c>
      <c r="J426">
        <v>7150902.763331891</v>
      </c>
      <c r="K426" s="68">
        <v>7638176.1623688964</v>
      </c>
    </row>
    <row r="427" spans="1:11" x14ac:dyDescent="0.35">
      <c r="A427">
        <v>427</v>
      </c>
      <c r="B427">
        <v>1.017607968482967E-15</v>
      </c>
      <c r="C427">
        <v>-521.40514052951494</v>
      </c>
      <c r="D427">
        <v>-1388.9988150057115</v>
      </c>
      <c r="E427">
        <v>-933.01526493129404</v>
      </c>
      <c r="F427">
        <v>543.87268589349605</v>
      </c>
      <c r="G427">
        <v>6638.7080491284314</v>
      </c>
      <c r="H427">
        <v>61836.107995752813</v>
      </c>
      <c r="I427">
        <v>355864.82785379002</v>
      </c>
      <c r="J427">
        <v>7151541.2359097349</v>
      </c>
      <c r="K427" s="68">
        <v>7639931.0796162812</v>
      </c>
    </row>
    <row r="428" spans="1:11" x14ac:dyDescent="0.35">
      <c r="A428">
        <v>428</v>
      </c>
      <c r="B428">
        <v>1.6725721385449759E-15</v>
      </c>
      <c r="C428">
        <v>-469.98041215538979</v>
      </c>
      <c r="D428">
        <v>-1380.0964341196377</v>
      </c>
      <c r="E428">
        <v>-915.21400118407144</v>
      </c>
      <c r="F428">
        <v>552.81302357384106</v>
      </c>
      <c r="G428">
        <v>6750.8955189011904</v>
      </c>
      <c r="H428">
        <v>62072.212864974965</v>
      </c>
      <c r="I428">
        <v>356327.88077483454</v>
      </c>
      <c r="J428">
        <v>7152478.132825423</v>
      </c>
      <c r="K428" s="68">
        <v>7640172.1441641944</v>
      </c>
    </row>
    <row r="429" spans="1:11" x14ac:dyDescent="0.35">
      <c r="A429">
        <v>429</v>
      </c>
      <c r="B429">
        <v>1.9295160033123644E-15</v>
      </c>
      <c r="C429">
        <v>-469.49976870328709</v>
      </c>
      <c r="D429">
        <v>-1358.4659472607837</v>
      </c>
      <c r="E429">
        <v>-891.41197770723784</v>
      </c>
      <c r="F429">
        <v>565.36172347335616</v>
      </c>
      <c r="G429">
        <v>6784.411773109643</v>
      </c>
      <c r="H429">
        <v>62124.992241155276</v>
      </c>
      <c r="I429">
        <v>356336.6062521541</v>
      </c>
      <c r="J429">
        <v>7152600.3350544553</v>
      </c>
      <c r="K429" s="68">
        <v>7642359.0626189345</v>
      </c>
    </row>
    <row r="430" spans="1:11" x14ac:dyDescent="0.35">
      <c r="A430">
        <v>430</v>
      </c>
      <c r="B430">
        <v>3.2030811173199297E-15</v>
      </c>
      <c r="C430">
        <v>-457.72150503098965</v>
      </c>
      <c r="D430">
        <v>-1343.8192897837021</v>
      </c>
      <c r="E430">
        <v>-841.63483514431334</v>
      </c>
      <c r="F430">
        <v>565.9907808066024</v>
      </c>
      <c r="G430">
        <v>6788.8887948417396</v>
      </c>
      <c r="H430">
        <v>62304.335684864345</v>
      </c>
      <c r="I430">
        <v>356339.6690648534</v>
      </c>
      <c r="J430">
        <v>7154973.9945308343</v>
      </c>
      <c r="K430" s="68">
        <v>7645633.7857388007</v>
      </c>
    </row>
    <row r="431" spans="1:11" x14ac:dyDescent="0.35">
      <c r="A431">
        <v>431</v>
      </c>
      <c r="B431">
        <v>3.8631388176669913E-15</v>
      </c>
      <c r="C431">
        <v>-453.06135603928124</v>
      </c>
      <c r="D431">
        <v>-1331.9291087567826</v>
      </c>
      <c r="E431">
        <v>-832.08666798046863</v>
      </c>
      <c r="F431">
        <v>587.07014641131082</v>
      </c>
      <c r="G431">
        <v>6843.6734088337125</v>
      </c>
      <c r="H431">
        <v>62308.124221071383</v>
      </c>
      <c r="I431">
        <v>356631.12792790344</v>
      </c>
      <c r="J431">
        <v>7155137.5118545545</v>
      </c>
      <c r="K431" s="68">
        <v>7646691.7178158006</v>
      </c>
    </row>
    <row r="432" spans="1:11" x14ac:dyDescent="0.35">
      <c r="A432">
        <v>432</v>
      </c>
      <c r="B432">
        <v>4.5338532149616932E-15</v>
      </c>
      <c r="C432">
        <v>-451.44799185086356</v>
      </c>
      <c r="D432">
        <v>-1220.9546199678546</v>
      </c>
      <c r="E432">
        <v>-805.90804668346505</v>
      </c>
      <c r="F432">
        <v>594.92619316448895</v>
      </c>
      <c r="G432">
        <v>6928.1722236710448</v>
      </c>
      <c r="H432">
        <v>62316.791923399658</v>
      </c>
      <c r="I432">
        <v>356672.89150857902</v>
      </c>
      <c r="J432">
        <v>7156441.3971691141</v>
      </c>
      <c r="K432" s="68">
        <v>7653154.3007212915</v>
      </c>
    </row>
    <row r="433" spans="1:11" x14ac:dyDescent="0.35">
      <c r="A433">
        <v>433</v>
      </c>
      <c r="B433">
        <v>6.1669657914116643E-15</v>
      </c>
      <c r="C433">
        <v>-450.62795201542787</v>
      </c>
      <c r="D433">
        <v>-1191.0906030801316</v>
      </c>
      <c r="E433">
        <v>-743.01184379666483</v>
      </c>
      <c r="F433">
        <v>605.7152699430917</v>
      </c>
      <c r="G433">
        <v>6963.7090849260157</v>
      </c>
      <c r="H433">
        <v>62363.807995073737</v>
      </c>
      <c r="I433">
        <v>356733.16259996116</v>
      </c>
      <c r="J433">
        <v>7156489.1636712477</v>
      </c>
      <c r="K433" s="68">
        <v>7656626.3638076317</v>
      </c>
    </row>
    <row r="434" spans="1:11" x14ac:dyDescent="0.35">
      <c r="A434">
        <v>434</v>
      </c>
      <c r="B434">
        <v>1.6251845378507967E-14</v>
      </c>
      <c r="C434">
        <v>-443.52501657605171</v>
      </c>
      <c r="D434">
        <v>-1131.0186942673722</v>
      </c>
      <c r="E434">
        <v>-737.09592335987566</v>
      </c>
      <c r="F434">
        <v>624.06152337887215</v>
      </c>
      <c r="G434">
        <v>6979.386517624991</v>
      </c>
      <c r="H434">
        <v>62549.897826492066</v>
      </c>
      <c r="I434">
        <v>357190.5543833152</v>
      </c>
      <c r="J434">
        <v>7156861.9801575243</v>
      </c>
      <c r="K434" s="68">
        <v>7657205.133657516</v>
      </c>
    </row>
    <row r="435" spans="1:11" x14ac:dyDescent="0.35">
      <c r="A435">
        <v>435</v>
      </c>
      <c r="B435">
        <v>1.6718027791107845E-14</v>
      </c>
      <c r="C435">
        <v>-422.07482662127524</v>
      </c>
      <c r="D435">
        <v>-1092.1177186541895</v>
      </c>
      <c r="E435">
        <v>-736.7452920733208</v>
      </c>
      <c r="F435">
        <v>636.12395372105902</v>
      </c>
      <c r="G435">
        <v>7055.9818076733072</v>
      </c>
      <c r="H435">
        <v>62568.8023138934</v>
      </c>
      <c r="I435">
        <v>357275.58918104542</v>
      </c>
      <c r="J435">
        <v>7157826.6684353948</v>
      </c>
      <c r="K435" s="68">
        <v>7660434.4260109272</v>
      </c>
    </row>
    <row r="436" spans="1:11" x14ac:dyDescent="0.35">
      <c r="A436">
        <v>436</v>
      </c>
      <c r="B436">
        <v>3.4615026933499569E-14</v>
      </c>
      <c r="C436">
        <v>-416.90639252982874</v>
      </c>
      <c r="D436">
        <v>-1084.4519381067921</v>
      </c>
      <c r="E436">
        <v>-720.7500651567824</v>
      </c>
      <c r="F436">
        <v>720.3385073582765</v>
      </c>
      <c r="G436">
        <v>7162.1535260781702</v>
      </c>
      <c r="H436">
        <v>62671.292194190893</v>
      </c>
      <c r="I436">
        <v>357296.5275504592</v>
      </c>
      <c r="J436">
        <v>7159576.6587042287</v>
      </c>
      <c r="K436" s="68">
        <v>7663169.5110621303</v>
      </c>
    </row>
    <row r="437" spans="1:11" x14ac:dyDescent="0.35">
      <c r="A437">
        <v>437</v>
      </c>
      <c r="B437">
        <v>3.4799498940316168E-14</v>
      </c>
      <c r="C437">
        <v>-410.26434686840548</v>
      </c>
      <c r="D437">
        <v>-1041.7716584753477</v>
      </c>
      <c r="E437">
        <v>-711.51762307189279</v>
      </c>
      <c r="F437">
        <v>780.9916475087125</v>
      </c>
      <c r="G437">
        <v>7295.5199856246263</v>
      </c>
      <c r="H437">
        <v>62753.189275823461</v>
      </c>
      <c r="I437">
        <v>357341.09281401313</v>
      </c>
      <c r="J437">
        <v>7160143.8956826422</v>
      </c>
      <c r="K437" s="68">
        <v>7664906.7439234508</v>
      </c>
    </row>
    <row r="438" spans="1:11" x14ac:dyDescent="0.35">
      <c r="A438">
        <v>438</v>
      </c>
      <c r="B438">
        <v>3.5456327136219971E-14</v>
      </c>
      <c r="C438">
        <v>-385.82004379526438</v>
      </c>
      <c r="D438">
        <v>-1009.137610192123</v>
      </c>
      <c r="E438">
        <v>-695.54648649717808</v>
      </c>
      <c r="F438">
        <v>795.59872160740269</v>
      </c>
      <c r="G438">
        <v>7345.559079798275</v>
      </c>
      <c r="H438">
        <v>62785.022884122212</v>
      </c>
      <c r="I438">
        <v>357990.68183228548</v>
      </c>
      <c r="J438">
        <v>7160550.8339964384</v>
      </c>
      <c r="K438" s="68">
        <v>7666298.3944647266</v>
      </c>
    </row>
    <row r="439" spans="1:11" x14ac:dyDescent="0.35">
      <c r="A439">
        <v>439</v>
      </c>
      <c r="B439">
        <v>4.4182673761893341E-14</v>
      </c>
      <c r="C439">
        <v>-319.72005978226662</v>
      </c>
      <c r="D439">
        <v>-989.63870963551165</v>
      </c>
      <c r="E439">
        <v>-678.71636576015101</v>
      </c>
      <c r="F439">
        <v>850.40739077397188</v>
      </c>
      <c r="G439">
        <v>7417.4025368993425</v>
      </c>
      <c r="H439">
        <v>62824.525497831033</v>
      </c>
      <c r="I439">
        <v>358118.11061420076</v>
      </c>
      <c r="J439">
        <v>7162983.3940194808</v>
      </c>
      <c r="K439" s="68">
        <v>7670192.2111959476</v>
      </c>
    </row>
    <row r="440" spans="1:11" x14ac:dyDescent="0.35">
      <c r="A440">
        <v>440</v>
      </c>
      <c r="B440">
        <v>4.723774720117128E-14</v>
      </c>
      <c r="C440">
        <v>-295.9545570931063</v>
      </c>
      <c r="D440">
        <v>-978.26500214370753</v>
      </c>
      <c r="E440">
        <v>-676.9536445634194</v>
      </c>
      <c r="F440">
        <v>946.71789155810529</v>
      </c>
      <c r="G440">
        <v>7421.2783942149226</v>
      </c>
      <c r="H440">
        <v>62835.540792032916</v>
      </c>
      <c r="I440">
        <v>358266.36068803928</v>
      </c>
      <c r="J440">
        <v>7164407.4863386266</v>
      </c>
      <c r="K440" s="68">
        <v>7672963.3872544644</v>
      </c>
    </row>
    <row r="441" spans="1:11" x14ac:dyDescent="0.35">
      <c r="A441">
        <v>441</v>
      </c>
      <c r="B441">
        <v>5.4226890407949684E-14</v>
      </c>
      <c r="C441">
        <v>-283.3807162012813</v>
      </c>
      <c r="D441">
        <v>-932.10393485256463</v>
      </c>
      <c r="E441">
        <v>-644.26828659590967</v>
      </c>
      <c r="F441">
        <v>960.53157539184213</v>
      </c>
      <c r="G441">
        <v>7460.6052881222913</v>
      </c>
      <c r="H441">
        <v>63047.773540934519</v>
      </c>
      <c r="I441">
        <v>358380.16844474047</v>
      </c>
      <c r="J441">
        <v>7164781.1759532886</v>
      </c>
      <c r="K441" s="68">
        <v>7674592.7179357195</v>
      </c>
    </row>
    <row r="442" spans="1:11" x14ac:dyDescent="0.35">
      <c r="A442">
        <v>442</v>
      </c>
      <c r="B442">
        <v>6.3365357434816062E-14</v>
      </c>
      <c r="C442">
        <v>-193.79553194209785</v>
      </c>
      <c r="D442">
        <v>-931.17027086805501</v>
      </c>
      <c r="E442">
        <v>-628.67220998578784</v>
      </c>
      <c r="F442">
        <v>1050.9719467956515</v>
      </c>
      <c r="G442">
        <v>7490.6156908912481</v>
      </c>
      <c r="H442">
        <v>63264.001128806267</v>
      </c>
      <c r="I442">
        <v>358484.50647462229</v>
      </c>
      <c r="J442">
        <v>7165170.625135134</v>
      </c>
      <c r="K442" s="68">
        <v>7675682.5950825755</v>
      </c>
    </row>
    <row r="443" spans="1:11" x14ac:dyDescent="0.35">
      <c r="A443">
        <v>443</v>
      </c>
      <c r="B443">
        <v>1.1057150080297619E-13</v>
      </c>
      <c r="C443">
        <v>-161.63855467568987</v>
      </c>
      <c r="D443">
        <v>-928.6951757417894</v>
      </c>
      <c r="E443">
        <v>-589.93310445201814</v>
      </c>
      <c r="F443">
        <v>1060.8765350234687</v>
      </c>
      <c r="G443">
        <v>7503.6090804365003</v>
      </c>
      <c r="H443">
        <v>63462.530167421093</v>
      </c>
      <c r="I443">
        <v>358660.9632607557</v>
      </c>
      <c r="J443">
        <v>7166057.464701579</v>
      </c>
      <c r="K443" s="68">
        <v>7675764.5376893636</v>
      </c>
    </row>
    <row r="444" spans="1:11" x14ac:dyDescent="0.35">
      <c r="A444">
        <v>444</v>
      </c>
      <c r="B444">
        <v>1.1099664262142446E-13</v>
      </c>
      <c r="C444">
        <v>-131.25196967276312</v>
      </c>
      <c r="D444">
        <v>-907.77083096683941</v>
      </c>
      <c r="E444">
        <v>-575.75755206042982</v>
      </c>
      <c r="F444">
        <v>1077.1121760606075</v>
      </c>
      <c r="G444">
        <v>7613.7076656567579</v>
      </c>
      <c r="H444">
        <v>63594.014620073212</v>
      </c>
      <c r="I444">
        <v>358917.65051456279</v>
      </c>
      <c r="J444">
        <v>7166385.8211796163</v>
      </c>
      <c r="K444" s="68">
        <v>7677602.0263414299</v>
      </c>
    </row>
    <row r="445" spans="1:11" x14ac:dyDescent="0.35">
      <c r="A445">
        <v>445</v>
      </c>
      <c r="B445">
        <v>1.2889066956431269E-13</v>
      </c>
      <c r="C445">
        <v>-128.78498784452677</v>
      </c>
      <c r="D445">
        <v>-894.08665455971459</v>
      </c>
      <c r="E445">
        <v>-571.15747650299522</v>
      </c>
      <c r="F445">
        <v>1081.3117560291209</v>
      </c>
      <c r="G445">
        <v>7689.7403095897662</v>
      </c>
      <c r="H445">
        <v>63695.710352057424</v>
      </c>
      <c r="I445">
        <v>359047.04440441675</v>
      </c>
      <c r="J445">
        <v>7167078.7086644704</v>
      </c>
      <c r="K445" s="68">
        <v>7677816.8002930032</v>
      </c>
    </row>
    <row r="446" spans="1:11" x14ac:dyDescent="0.35">
      <c r="A446">
        <v>446</v>
      </c>
      <c r="B446">
        <v>2.8032432489335079E-13</v>
      </c>
      <c r="C446">
        <v>-126.41969261504983</v>
      </c>
      <c r="D446">
        <v>-879.65069463207863</v>
      </c>
      <c r="E446">
        <v>-555.53122681167201</v>
      </c>
      <c r="F446">
        <v>1090.5491894544884</v>
      </c>
      <c r="G446">
        <v>7768.2591019718739</v>
      </c>
      <c r="H446">
        <v>63934.368187548935</v>
      </c>
      <c r="I446">
        <v>359216.61004973704</v>
      </c>
      <c r="J446">
        <v>7169413.7341054752</v>
      </c>
      <c r="K446" s="68">
        <v>7682400.1958055664</v>
      </c>
    </row>
    <row r="447" spans="1:11" x14ac:dyDescent="0.35">
      <c r="A447">
        <v>447</v>
      </c>
      <c r="B447">
        <v>3.9122452391959368E-13</v>
      </c>
      <c r="C447">
        <v>-113.25310967174163</v>
      </c>
      <c r="D447">
        <v>-870.97659230767158</v>
      </c>
      <c r="E447">
        <v>-531.05146152678299</v>
      </c>
      <c r="F447">
        <v>1114.6243594520929</v>
      </c>
      <c r="G447">
        <v>7801.8774369398225</v>
      </c>
      <c r="H447">
        <v>63943.996663185753</v>
      </c>
      <c r="I447">
        <v>359322.11277759174</v>
      </c>
      <c r="J447">
        <v>7171828.9559497898</v>
      </c>
      <c r="K447" s="68">
        <v>7682669.8494390855</v>
      </c>
    </row>
    <row r="448" spans="1:11" x14ac:dyDescent="0.35">
      <c r="A448">
        <v>448</v>
      </c>
      <c r="B448">
        <v>4.2303132775877424E-13</v>
      </c>
      <c r="C448">
        <v>-111.02344340677826</v>
      </c>
      <c r="D448">
        <v>-862.74955556080545</v>
      </c>
      <c r="E448">
        <v>-515.77533910000375</v>
      </c>
      <c r="F448">
        <v>1122.0808524004412</v>
      </c>
      <c r="G448">
        <v>7825.4971728887904</v>
      </c>
      <c r="H448">
        <v>64059.180138924799</v>
      </c>
      <c r="I448">
        <v>360135.19985662145</v>
      </c>
      <c r="J448">
        <v>7171930.3589612953</v>
      </c>
      <c r="K448" s="68">
        <v>7684238.0744239744</v>
      </c>
    </row>
    <row r="449" spans="1:11" x14ac:dyDescent="0.35">
      <c r="A449">
        <v>449</v>
      </c>
      <c r="B449">
        <v>4.3102058809587827E-13</v>
      </c>
      <c r="C449">
        <v>-106.8467771928847</v>
      </c>
      <c r="D449">
        <v>-855.81582685930789</v>
      </c>
      <c r="E449">
        <v>-501.56252039917536</v>
      </c>
      <c r="F449">
        <v>1158.3276795540121</v>
      </c>
      <c r="G449">
        <v>7937.5635940980592</v>
      </c>
      <c r="H449">
        <v>64167.04519972593</v>
      </c>
      <c r="I449">
        <v>360263.75912513718</v>
      </c>
      <c r="J449">
        <v>7173522.3944875961</v>
      </c>
      <c r="K449" s="68">
        <v>7684853.2509959452</v>
      </c>
    </row>
    <row r="450" spans="1:11" x14ac:dyDescent="0.35">
      <c r="A450">
        <v>450</v>
      </c>
      <c r="B450">
        <v>6.5744948925490658E-13</v>
      </c>
      <c r="C450">
        <v>-99.790337671400778</v>
      </c>
      <c r="D450">
        <v>-852.84992332079071</v>
      </c>
      <c r="E450">
        <v>-483.25154597340804</v>
      </c>
      <c r="F450">
        <v>1175.5486608785945</v>
      </c>
      <c r="G450">
        <v>7954.5035915628496</v>
      </c>
      <c r="H450">
        <v>64239.714202893985</v>
      </c>
      <c r="I450">
        <v>360398.30226523808</v>
      </c>
      <c r="J450">
        <v>7173588.8910148051</v>
      </c>
      <c r="K450" s="68">
        <v>7685241.1036356287</v>
      </c>
    </row>
    <row r="451" spans="1:11" x14ac:dyDescent="0.35">
      <c r="A451">
        <v>451</v>
      </c>
      <c r="B451">
        <v>7.3501000803487837E-13</v>
      </c>
      <c r="C451">
        <v>-91.537859439212298</v>
      </c>
      <c r="D451">
        <v>-840.75842240120312</v>
      </c>
      <c r="E451">
        <v>-476.9455562949376</v>
      </c>
      <c r="F451">
        <v>1197.0082973758513</v>
      </c>
      <c r="G451">
        <v>7961.1359441489485</v>
      </c>
      <c r="H451">
        <v>64492.049220638837</v>
      </c>
      <c r="I451">
        <v>360642.0932196888</v>
      </c>
      <c r="J451">
        <v>7175719.7457123464</v>
      </c>
      <c r="K451" s="68">
        <v>7685542.116754408</v>
      </c>
    </row>
    <row r="452" spans="1:11" x14ac:dyDescent="0.35">
      <c r="A452">
        <v>452</v>
      </c>
      <c r="B452">
        <v>7.4788964908882295E-13</v>
      </c>
      <c r="C452">
        <v>-88.545078711687836</v>
      </c>
      <c r="D452">
        <v>-836.5034400978642</v>
      </c>
      <c r="E452">
        <v>-463.9802014006317</v>
      </c>
      <c r="F452">
        <v>1212.2028347808466</v>
      </c>
      <c r="G452">
        <v>7971.7029053894375</v>
      </c>
      <c r="H452">
        <v>64538.113086294965</v>
      </c>
      <c r="I452">
        <v>360655.80926186044</v>
      </c>
      <c r="J452">
        <v>7175938.5743684685</v>
      </c>
      <c r="K452" s="68">
        <v>7685588.4300924409</v>
      </c>
    </row>
    <row r="453" spans="1:11" x14ac:dyDescent="0.35">
      <c r="A453">
        <v>453</v>
      </c>
      <c r="B453">
        <v>8.8257450294969609E-13</v>
      </c>
      <c r="C453">
        <v>-83.570756510370799</v>
      </c>
      <c r="D453">
        <v>-829.12082044968554</v>
      </c>
      <c r="E453">
        <v>-452.0048605308512</v>
      </c>
      <c r="F453">
        <v>1214.9109997879086</v>
      </c>
      <c r="G453">
        <v>7984.8183207307611</v>
      </c>
      <c r="H453">
        <v>64565.534419352727</v>
      </c>
      <c r="I453">
        <v>361331.61273981817</v>
      </c>
      <c r="J453">
        <v>7175966.8876038585</v>
      </c>
      <c r="K453" s="68">
        <v>7686703.7704679407</v>
      </c>
    </row>
    <row r="454" spans="1:11" x14ac:dyDescent="0.35">
      <c r="A454">
        <v>454</v>
      </c>
      <c r="B454">
        <v>1.0455032433252108E-12</v>
      </c>
      <c r="C454">
        <v>-81.565023798542938</v>
      </c>
      <c r="D454">
        <v>-822.29585955896164</v>
      </c>
      <c r="E454">
        <v>-387.84914536167162</v>
      </c>
      <c r="F454">
        <v>1235.5850704542481</v>
      </c>
      <c r="G454">
        <v>8032.5850575506274</v>
      </c>
      <c r="H454">
        <v>64572.95970482433</v>
      </c>
      <c r="I454">
        <v>361614.52827223303</v>
      </c>
      <c r="J454">
        <v>7183007.6885297447</v>
      </c>
      <c r="K454" s="68">
        <v>7686779.2056426639</v>
      </c>
    </row>
    <row r="455" spans="1:11" x14ac:dyDescent="0.35">
      <c r="A455">
        <v>455</v>
      </c>
      <c r="B455">
        <v>1.0851726278998557E-12</v>
      </c>
      <c r="C455">
        <v>-81.465044208542167</v>
      </c>
      <c r="D455">
        <v>-772.16338642384324</v>
      </c>
      <c r="E455">
        <v>-368.25446106780646</v>
      </c>
      <c r="F455">
        <v>1261.1104442877477</v>
      </c>
      <c r="G455">
        <v>8050.0788685777661</v>
      </c>
      <c r="H455">
        <v>64830.041785201232</v>
      </c>
      <c r="I455">
        <v>361999.44547579583</v>
      </c>
      <c r="J455">
        <v>7183646.0253390847</v>
      </c>
      <c r="K455" s="68">
        <v>7687854.2611183552</v>
      </c>
    </row>
    <row r="456" spans="1:11" x14ac:dyDescent="0.35">
      <c r="A456">
        <v>456</v>
      </c>
      <c r="B456">
        <v>2.4167394176355098E-12</v>
      </c>
      <c r="C456">
        <v>-79.876166964736029</v>
      </c>
      <c r="D456">
        <v>-769.1506636599122</v>
      </c>
      <c r="E456">
        <v>-353.67858010008899</v>
      </c>
      <c r="F456">
        <v>1263.3644673162808</v>
      </c>
      <c r="G456">
        <v>8064.2458868551967</v>
      </c>
      <c r="H456">
        <v>64875.390320763378</v>
      </c>
      <c r="I456">
        <v>362063.98229363572</v>
      </c>
      <c r="J456">
        <v>7187189.6051977081</v>
      </c>
      <c r="K456" s="68">
        <v>7696378.8899703519</v>
      </c>
    </row>
    <row r="457" spans="1:11" x14ac:dyDescent="0.35">
      <c r="A457">
        <v>457</v>
      </c>
      <c r="B457">
        <v>2.4965638028906184E-12</v>
      </c>
      <c r="C457">
        <v>-79.353355151319306</v>
      </c>
      <c r="D457">
        <v>-756.44551121394261</v>
      </c>
      <c r="E457">
        <v>-271.66606996038666</v>
      </c>
      <c r="F457">
        <v>1273.6845174003961</v>
      </c>
      <c r="G457">
        <v>8099.1498174694152</v>
      </c>
      <c r="H457">
        <v>64957.173840402138</v>
      </c>
      <c r="I457">
        <v>362595.34143471648</v>
      </c>
      <c r="J457">
        <v>7188377.227865437</v>
      </c>
      <c r="K457" s="68">
        <v>7697339.7217332907</v>
      </c>
    </row>
    <row r="458" spans="1:11" x14ac:dyDescent="0.35">
      <c r="A458">
        <v>458</v>
      </c>
      <c r="B458">
        <v>2.6998722480535458E-12</v>
      </c>
      <c r="C458">
        <v>-79.292943760276046</v>
      </c>
      <c r="D458">
        <v>-750.91510029794551</v>
      </c>
      <c r="E458">
        <v>-244.08599669538253</v>
      </c>
      <c r="F458">
        <v>1281.9437537423423</v>
      </c>
      <c r="G458">
        <v>8193.1573989472672</v>
      </c>
      <c r="H458">
        <v>64974.746430410174</v>
      </c>
      <c r="I458">
        <v>363384.41737461468</v>
      </c>
      <c r="J458">
        <v>7191884.0404012837</v>
      </c>
      <c r="K458" s="68">
        <v>7699007.591206288</v>
      </c>
    </row>
    <row r="459" spans="1:11" x14ac:dyDescent="0.35">
      <c r="A459">
        <v>459</v>
      </c>
      <c r="B459">
        <v>2.7209643632172971E-12</v>
      </c>
      <c r="C459">
        <v>-75.925461483374434</v>
      </c>
      <c r="D459">
        <v>-721.07563449144402</v>
      </c>
      <c r="E459">
        <v>-240.90464927352286</v>
      </c>
      <c r="F459">
        <v>1333.2036573082319</v>
      </c>
      <c r="G459">
        <v>8273.7695056784214</v>
      </c>
      <c r="H459">
        <v>65153.091829193712</v>
      </c>
      <c r="I459">
        <v>363728.93347811146</v>
      </c>
      <c r="J459">
        <v>7192099.2956596063</v>
      </c>
      <c r="K459" s="68">
        <v>7699639.461270066</v>
      </c>
    </row>
    <row r="460" spans="1:11" x14ac:dyDescent="0.35">
      <c r="A460">
        <v>460</v>
      </c>
      <c r="B460">
        <v>3.4840952956672988E-12</v>
      </c>
      <c r="C460">
        <v>-28.911068166941156</v>
      </c>
      <c r="D460">
        <v>-685.61955344414582</v>
      </c>
      <c r="E460">
        <v>-228.31679803562145</v>
      </c>
      <c r="F460">
        <v>1342.4241926982686</v>
      </c>
      <c r="G460">
        <v>8291.432973353838</v>
      </c>
      <c r="H460">
        <v>65648.277804229452</v>
      </c>
      <c r="I460">
        <v>364051.50484275399</v>
      </c>
      <c r="J460">
        <v>7193253.1014924152</v>
      </c>
      <c r="K460" s="68">
        <v>7700170.2164773634</v>
      </c>
    </row>
    <row r="461" spans="1:11" x14ac:dyDescent="0.35">
      <c r="A461">
        <v>461</v>
      </c>
      <c r="B461">
        <v>5.4304503049831653E-12</v>
      </c>
      <c r="C461">
        <v>-4.1473520067011123</v>
      </c>
      <c r="D461">
        <v>-678.63869400198655</v>
      </c>
      <c r="E461">
        <v>-215.04931458463329</v>
      </c>
      <c r="F461">
        <v>1353.4391101966337</v>
      </c>
      <c r="G461">
        <v>8329.4088824016453</v>
      </c>
      <c r="H461">
        <v>65728.960980379386</v>
      </c>
      <c r="I461">
        <v>364485.31437937339</v>
      </c>
      <c r="J461">
        <v>7194428.6882182974</v>
      </c>
      <c r="K461" s="68">
        <v>7700936.0200675884</v>
      </c>
    </row>
    <row r="462" spans="1:11" x14ac:dyDescent="0.35">
      <c r="A462">
        <v>462</v>
      </c>
      <c r="B462">
        <v>6.4413478558195397E-12</v>
      </c>
      <c r="C462">
        <v>-0.6174584840507169</v>
      </c>
      <c r="D462">
        <v>-676.20443206403615</v>
      </c>
      <c r="E462">
        <v>-142.33469014493858</v>
      </c>
      <c r="F462">
        <v>1406.126466340967</v>
      </c>
      <c r="G462">
        <v>8331.8109380879177</v>
      </c>
      <c r="H462">
        <v>65830.083990145038</v>
      </c>
      <c r="I462">
        <v>364559.45259026112</v>
      </c>
      <c r="J462">
        <v>7195242.8014120609</v>
      </c>
      <c r="K462" s="68">
        <v>7701833.7952580415</v>
      </c>
    </row>
    <row r="463" spans="1:11" x14ac:dyDescent="0.35">
      <c r="A463">
        <v>463</v>
      </c>
      <c r="B463">
        <v>8.840374261672402E-12</v>
      </c>
      <c r="C463">
        <v>5.3281411279557956E-75</v>
      </c>
      <c r="D463">
        <v>-655.5034748017971</v>
      </c>
      <c r="E463">
        <v>-86.125108951751784</v>
      </c>
      <c r="F463">
        <v>1476.4749430728657</v>
      </c>
      <c r="G463">
        <v>8410.4028651010813</v>
      </c>
      <c r="H463">
        <v>66023.967269536341</v>
      </c>
      <c r="I463">
        <v>364655.46073870867</v>
      </c>
      <c r="J463">
        <v>7203552.7138606403</v>
      </c>
      <c r="K463" s="68">
        <v>7704720.2054401254</v>
      </c>
    </row>
    <row r="464" spans="1:11" x14ac:dyDescent="0.35">
      <c r="A464">
        <v>464</v>
      </c>
      <c r="B464">
        <v>1.0026169022588249E-11</v>
      </c>
      <c r="C464">
        <v>1.5971086213080249E-29</v>
      </c>
      <c r="D464">
        <v>-632.96843521057394</v>
      </c>
      <c r="E464">
        <v>-83.466468615582485</v>
      </c>
      <c r="F464">
        <v>1503.7763755466676</v>
      </c>
      <c r="G464">
        <v>8422.7317132020435</v>
      </c>
      <c r="H464">
        <v>66086.091206730023</v>
      </c>
      <c r="I464">
        <v>364757.39309594152</v>
      </c>
      <c r="J464">
        <v>7206817.8332588887</v>
      </c>
      <c r="K464" s="68">
        <v>7708684.613590328</v>
      </c>
    </row>
    <row r="465" spans="1:11" x14ac:dyDescent="0.35">
      <c r="A465">
        <v>465</v>
      </c>
      <c r="B465">
        <v>1.0106044038659034E-11</v>
      </c>
      <c r="C465">
        <v>6.6351567540121468E-25</v>
      </c>
      <c r="D465">
        <v>-600.01446575553427</v>
      </c>
      <c r="E465">
        <v>-81.539077817742495</v>
      </c>
      <c r="F465">
        <v>1573.9987708767849</v>
      </c>
      <c r="G465">
        <v>8443.6353111587159</v>
      </c>
      <c r="H465">
        <v>66210.433119295863</v>
      </c>
      <c r="I465">
        <v>365178.85050364648</v>
      </c>
      <c r="J465">
        <v>7208954.9696480352</v>
      </c>
      <c r="K465" s="68">
        <v>7709136.3227555556</v>
      </c>
    </row>
    <row r="466" spans="1:11" x14ac:dyDescent="0.35">
      <c r="A466">
        <v>466</v>
      </c>
      <c r="B466">
        <v>4.8670819904430777E-11</v>
      </c>
      <c r="C466">
        <v>1.9308556591231189E-24</v>
      </c>
      <c r="D466">
        <v>-584.82862894037589</v>
      </c>
      <c r="E466">
        <v>-71.32953809884475</v>
      </c>
      <c r="F466">
        <v>1588.0920228384985</v>
      </c>
      <c r="G466">
        <v>8596.640512346974</v>
      </c>
      <c r="H466">
        <v>66361.603759385252</v>
      </c>
      <c r="I466">
        <v>365322.20048321696</v>
      </c>
      <c r="J466">
        <v>7209684.0878074579</v>
      </c>
      <c r="K466" s="68">
        <v>7709357.8038725061</v>
      </c>
    </row>
    <row r="467" spans="1:11" x14ac:dyDescent="0.35">
      <c r="A467">
        <v>467</v>
      </c>
      <c r="B467">
        <v>5.8379252585156604E-11</v>
      </c>
      <c r="C467">
        <v>6.45167926800223E-24</v>
      </c>
      <c r="D467">
        <v>-572.91792348218348</v>
      </c>
      <c r="E467">
        <v>-53.881538946244973</v>
      </c>
      <c r="F467">
        <v>1591.6498226355916</v>
      </c>
      <c r="G467">
        <v>8656.1261023220795</v>
      </c>
      <c r="H467">
        <v>66827.096344620164</v>
      </c>
      <c r="I467">
        <v>365410.99797964701</v>
      </c>
      <c r="J467">
        <v>7210026.2657699641</v>
      </c>
      <c r="K467" s="68">
        <v>7710932.2361980043</v>
      </c>
    </row>
    <row r="468" spans="1:11" x14ac:dyDescent="0.35">
      <c r="A468">
        <v>468</v>
      </c>
      <c r="B468">
        <v>1.0491623028943037E-10</v>
      </c>
      <c r="C468">
        <v>1.7523222035155031E-20</v>
      </c>
      <c r="D468">
        <v>-570.04394764848985</v>
      </c>
      <c r="E468">
        <v>-37.961267382299411</v>
      </c>
      <c r="F468">
        <v>1635.8494164218839</v>
      </c>
      <c r="G468">
        <v>8765.7718310368837</v>
      </c>
      <c r="H468">
        <v>66870.667701885992</v>
      </c>
      <c r="I468">
        <v>365692.86728961545</v>
      </c>
      <c r="J468">
        <v>7211758.2997517707</v>
      </c>
      <c r="K468" s="68">
        <v>7711218.4106112979</v>
      </c>
    </row>
    <row r="469" spans="1:11" x14ac:dyDescent="0.35">
      <c r="A469">
        <v>469</v>
      </c>
      <c r="B469">
        <v>1.2228379615684421E-10</v>
      </c>
      <c r="C469">
        <v>5.8317509554544172E-20</v>
      </c>
      <c r="D469">
        <v>-568.37203061292564</v>
      </c>
      <c r="E469">
        <v>-24.086027295087604</v>
      </c>
      <c r="F469">
        <v>1651.657780232541</v>
      </c>
      <c r="G469">
        <v>8781.6893545463063</v>
      </c>
      <c r="H469">
        <v>66873.683942866322</v>
      </c>
      <c r="I469">
        <v>365801.71587268857</v>
      </c>
      <c r="J469">
        <v>7211843.0930720055</v>
      </c>
      <c r="K469" s="68">
        <v>7712145.5396858547</v>
      </c>
    </row>
    <row r="470" spans="1:11" x14ac:dyDescent="0.35">
      <c r="A470">
        <v>470</v>
      </c>
      <c r="B470">
        <v>2.2279958978363977E-10</v>
      </c>
      <c r="C470">
        <v>8.2168039839742166E-20</v>
      </c>
      <c r="D470">
        <v>-497.36855148222821</v>
      </c>
      <c r="E470">
        <v>-18.199707211031825</v>
      </c>
      <c r="F470">
        <v>1704.0664144541374</v>
      </c>
      <c r="G470">
        <v>8787.4174770350583</v>
      </c>
      <c r="H470">
        <v>67240.176917076475</v>
      </c>
      <c r="I470">
        <v>365921.10888902214</v>
      </c>
      <c r="J470">
        <v>7212208.1607150575</v>
      </c>
      <c r="K470" s="68">
        <v>7712305.6543301912</v>
      </c>
    </row>
    <row r="471" spans="1:11" x14ac:dyDescent="0.35">
      <c r="A471">
        <v>471</v>
      </c>
      <c r="B471">
        <v>2.9206573310394247E-10</v>
      </c>
      <c r="C471">
        <v>1.7463295079282271E-19</v>
      </c>
      <c r="D471">
        <v>-466.97541335225105</v>
      </c>
      <c r="E471">
        <v>-2.1352227596866746</v>
      </c>
      <c r="F471">
        <v>1837.4510880125695</v>
      </c>
      <c r="G471">
        <v>8882.8001457659047</v>
      </c>
      <c r="H471">
        <v>67614.11474893066</v>
      </c>
      <c r="I471">
        <v>366641.67719167797</v>
      </c>
      <c r="J471">
        <v>7212864.9944272516</v>
      </c>
      <c r="K471" s="68">
        <v>7713733.4427144593</v>
      </c>
    </row>
    <row r="472" spans="1:11" x14ac:dyDescent="0.35">
      <c r="A472">
        <v>472</v>
      </c>
      <c r="B472">
        <v>5.7720937031248071E-10</v>
      </c>
      <c r="C472">
        <v>2.0936447557894276E-19</v>
      </c>
      <c r="D472">
        <v>-448.19196985811891</v>
      </c>
      <c r="E472">
        <v>2.8233107057800278E-4</v>
      </c>
      <c r="F472">
        <v>1919.6789776971582</v>
      </c>
      <c r="G472">
        <v>8887.5752682199491</v>
      </c>
      <c r="H472">
        <v>67634.54773505294</v>
      </c>
      <c r="I472">
        <v>366815.63406530162</v>
      </c>
      <c r="J472">
        <v>7213901.333517584</v>
      </c>
      <c r="K472" s="68">
        <v>7713751.9911250956</v>
      </c>
    </row>
    <row r="473" spans="1:11" x14ac:dyDescent="0.35">
      <c r="A473">
        <v>473</v>
      </c>
      <c r="B473">
        <v>5.9570006982740486E-10</v>
      </c>
      <c r="C473">
        <v>1.3038044230816937E-16</v>
      </c>
      <c r="D473">
        <v>-431.423626563168</v>
      </c>
      <c r="E473">
        <v>6.5360686289078155E-4</v>
      </c>
      <c r="F473">
        <v>1967.3022607494236</v>
      </c>
      <c r="G473">
        <v>8909.8300623088617</v>
      </c>
      <c r="H473">
        <v>67945.760884434509</v>
      </c>
      <c r="I473">
        <v>367343.43515052868</v>
      </c>
      <c r="J473">
        <v>7214985.014890126</v>
      </c>
      <c r="K473" s="68">
        <v>7714013.6564433873</v>
      </c>
    </row>
    <row r="474" spans="1:11" x14ac:dyDescent="0.35">
      <c r="A474">
        <v>474</v>
      </c>
      <c r="B474">
        <v>8.9630679228889835E-10</v>
      </c>
      <c r="C474">
        <v>2.5226163908694689E-15</v>
      </c>
      <c r="D474">
        <v>-424.93022037682607</v>
      </c>
      <c r="E474">
        <v>3.0617064217103463E-2</v>
      </c>
      <c r="F474">
        <v>2011.8039865962603</v>
      </c>
      <c r="G474">
        <v>8959.134197289135</v>
      </c>
      <c r="H474">
        <v>68005.929552319401</v>
      </c>
      <c r="I474">
        <v>367490.13513417874</v>
      </c>
      <c r="J474">
        <v>7215853.6662697634</v>
      </c>
      <c r="K474" s="68">
        <v>7715415.8642778788</v>
      </c>
    </row>
    <row r="475" spans="1:11" x14ac:dyDescent="0.35">
      <c r="A475">
        <v>475</v>
      </c>
      <c r="B475">
        <v>1.2207419804150786E-9</v>
      </c>
      <c r="C475">
        <v>5.6646895612493913E-12</v>
      </c>
      <c r="D475">
        <v>-418.45537357534647</v>
      </c>
      <c r="E475">
        <v>8.4596832412245054E-2</v>
      </c>
      <c r="F475">
        <v>2060.9103836846684</v>
      </c>
      <c r="G475">
        <v>8974.9245592206735</v>
      </c>
      <c r="H475">
        <v>68032.218456259754</v>
      </c>
      <c r="I475">
        <v>367819.91008052102</v>
      </c>
      <c r="J475">
        <v>7217150.6003171084</v>
      </c>
      <c r="K475" s="68">
        <v>7715433.5873337016</v>
      </c>
    </row>
    <row r="476" spans="1:11" x14ac:dyDescent="0.35">
      <c r="A476">
        <v>476</v>
      </c>
      <c r="B476">
        <v>1.2789295374161782E-9</v>
      </c>
      <c r="C476">
        <v>4.1540696369689015E-10</v>
      </c>
      <c r="D476">
        <v>-399.00394448587485</v>
      </c>
      <c r="E476">
        <v>0.25558947714603436</v>
      </c>
      <c r="F476">
        <v>2065.7809081467421</v>
      </c>
      <c r="G476">
        <v>9009.5778281971507</v>
      </c>
      <c r="H476">
        <v>68115.302126775932</v>
      </c>
      <c r="I476">
        <v>367916.62440860033</v>
      </c>
      <c r="J476">
        <v>7217189.1657879669</v>
      </c>
      <c r="K476" s="68">
        <v>7716168.4527222915</v>
      </c>
    </row>
    <row r="477" spans="1:11" x14ac:dyDescent="0.35">
      <c r="A477">
        <v>477</v>
      </c>
      <c r="B477">
        <v>1.7789429414334901E-9</v>
      </c>
      <c r="C477">
        <v>7.5946153846258662E-10</v>
      </c>
      <c r="D477">
        <v>-397.78408452748988</v>
      </c>
      <c r="E477">
        <v>0.81009847602926721</v>
      </c>
      <c r="F477">
        <v>2108.4493009818007</v>
      </c>
      <c r="G477">
        <v>9066.5087498587491</v>
      </c>
      <c r="H477">
        <v>68216.728902259783</v>
      </c>
      <c r="I477">
        <v>368072.04588887782</v>
      </c>
      <c r="J477">
        <v>7217405.7622812446</v>
      </c>
      <c r="K477" s="68">
        <v>7716252.0498418845</v>
      </c>
    </row>
    <row r="478" spans="1:11" x14ac:dyDescent="0.35">
      <c r="A478">
        <v>478</v>
      </c>
      <c r="B478">
        <v>1.8716280355281301E-9</v>
      </c>
      <c r="C478">
        <v>1.7971691888342105E-9</v>
      </c>
      <c r="D478">
        <v>-389.48625181176033</v>
      </c>
      <c r="E478">
        <v>1.6249954095534203</v>
      </c>
      <c r="F478">
        <v>2122.7222621150363</v>
      </c>
      <c r="G478">
        <v>9070.6757549935628</v>
      </c>
      <c r="H478">
        <v>68242.644933066171</v>
      </c>
      <c r="I478">
        <v>368387.8508012094</v>
      </c>
      <c r="J478">
        <v>7222535.1480273576</v>
      </c>
      <c r="K478" s="68">
        <v>7716665.8361807503</v>
      </c>
    </row>
    <row r="479" spans="1:11" x14ac:dyDescent="0.35">
      <c r="A479">
        <v>479</v>
      </c>
      <c r="B479">
        <v>2.6912536353039247E-9</v>
      </c>
      <c r="C479">
        <v>6.5293267545810826E-9</v>
      </c>
      <c r="D479">
        <v>-388.00002157130507</v>
      </c>
      <c r="E479">
        <v>3.8645385328479391</v>
      </c>
      <c r="F479">
        <v>2136.6007489678614</v>
      </c>
      <c r="G479">
        <v>9160.9073535932512</v>
      </c>
      <c r="H479">
        <v>68302.96450425357</v>
      </c>
      <c r="I479">
        <v>368660.40798010316</v>
      </c>
      <c r="J479">
        <v>7224236.4207173325</v>
      </c>
      <c r="K479" s="68">
        <v>7716889.1227975851</v>
      </c>
    </row>
    <row r="480" spans="1:11" x14ac:dyDescent="0.35">
      <c r="A480">
        <v>480</v>
      </c>
      <c r="B480">
        <v>4.7330803154981677E-9</v>
      </c>
      <c r="C480">
        <v>1.0462149053904544E-8</v>
      </c>
      <c r="D480">
        <v>-383.92081043454425</v>
      </c>
      <c r="E480">
        <v>5.4775590809301331</v>
      </c>
      <c r="F480">
        <v>2143.4117363161349</v>
      </c>
      <c r="G480">
        <v>9217.5661885487571</v>
      </c>
      <c r="H480">
        <v>68379.889323411713</v>
      </c>
      <c r="I480">
        <v>368804.08237533999</v>
      </c>
      <c r="J480">
        <v>7224374.4657330802</v>
      </c>
      <c r="K480" s="68">
        <v>7719114.840406023</v>
      </c>
    </row>
    <row r="481" spans="1:11" x14ac:dyDescent="0.35">
      <c r="A481">
        <v>481</v>
      </c>
      <c r="B481">
        <v>5.0496412179394319E-9</v>
      </c>
      <c r="C481">
        <v>1.1294664753816295E-8</v>
      </c>
      <c r="D481">
        <v>-362.80157293623387</v>
      </c>
      <c r="E481">
        <v>7.5666597931607633</v>
      </c>
      <c r="F481">
        <v>2147.7123572007513</v>
      </c>
      <c r="G481">
        <v>9252.1667496204245</v>
      </c>
      <c r="H481">
        <v>68591.105427895323</v>
      </c>
      <c r="I481">
        <v>369003.71873059508</v>
      </c>
      <c r="J481">
        <v>7225619.5962375337</v>
      </c>
      <c r="K481" s="68">
        <v>7719972.4178257901</v>
      </c>
    </row>
    <row r="482" spans="1:11" x14ac:dyDescent="0.35">
      <c r="A482">
        <v>482</v>
      </c>
      <c r="B482">
        <v>5.7120569723326598E-9</v>
      </c>
      <c r="C482">
        <v>1.3774822125050009E-8</v>
      </c>
      <c r="D482">
        <v>-327.44912348498383</v>
      </c>
      <c r="E482">
        <v>8.5547453931963808</v>
      </c>
      <c r="F482">
        <v>2188.0004068456656</v>
      </c>
      <c r="G482">
        <v>9297.2368632186372</v>
      </c>
      <c r="H482">
        <v>68723.687164006944</v>
      </c>
      <c r="I482">
        <v>369075.58507977577</v>
      </c>
      <c r="J482">
        <v>7227485.3048270047</v>
      </c>
      <c r="K482" s="68">
        <v>7721240.3909145966</v>
      </c>
    </row>
    <row r="483" spans="1:11" x14ac:dyDescent="0.35">
      <c r="A483">
        <v>483</v>
      </c>
      <c r="B483">
        <v>5.8249064190627519E-9</v>
      </c>
      <c r="C483">
        <v>2.0036827932259275E-8</v>
      </c>
      <c r="D483">
        <v>-277.00803299650215</v>
      </c>
      <c r="E483">
        <v>10.209775711940049</v>
      </c>
      <c r="F483">
        <v>2190.7869917485195</v>
      </c>
      <c r="G483">
        <v>9387.1346155877527</v>
      </c>
      <c r="H483">
        <v>68780.899494221143</v>
      </c>
      <c r="I483">
        <v>369347.59197357378</v>
      </c>
      <c r="J483">
        <v>7228723.3832349358</v>
      </c>
      <c r="K483" s="68">
        <v>7723687.6883547986</v>
      </c>
    </row>
    <row r="484" spans="1:11" x14ac:dyDescent="0.35">
      <c r="A484">
        <v>484</v>
      </c>
      <c r="B484">
        <v>7.9489570756536428E-9</v>
      </c>
      <c r="C484">
        <v>5.6610471812572011E-8</v>
      </c>
      <c r="D484">
        <v>-257.73747352978023</v>
      </c>
      <c r="E484">
        <v>10.62378794976442</v>
      </c>
      <c r="F484">
        <v>2220.3749255214743</v>
      </c>
      <c r="G484">
        <v>9442.9032192255472</v>
      </c>
      <c r="H484">
        <v>68815.455144990818</v>
      </c>
      <c r="I484">
        <v>369386.78139980306</v>
      </c>
      <c r="J484">
        <v>7229634.9841728536</v>
      </c>
      <c r="K484" s="68">
        <v>7728511.6196970763</v>
      </c>
    </row>
    <row r="485" spans="1:11" x14ac:dyDescent="0.35">
      <c r="A485">
        <v>485</v>
      </c>
      <c r="B485">
        <v>9.4780980595555834E-9</v>
      </c>
      <c r="C485">
        <v>1.2707914880841155E-6</v>
      </c>
      <c r="D485">
        <v>-234.20229755798459</v>
      </c>
      <c r="E485">
        <v>13.789745560771408</v>
      </c>
      <c r="F485">
        <v>2234.8364338309525</v>
      </c>
      <c r="G485">
        <v>9676.0961192107516</v>
      </c>
      <c r="H485">
        <v>68832.253574067159</v>
      </c>
      <c r="I485">
        <v>369885.04930726881</v>
      </c>
      <c r="J485">
        <v>7230063.097636004</v>
      </c>
      <c r="K485" s="68">
        <v>7728982.4009432578</v>
      </c>
    </row>
    <row r="486" spans="1:11" x14ac:dyDescent="0.35">
      <c r="A486">
        <v>486</v>
      </c>
      <c r="B486">
        <v>1.0860541601434659E-8</v>
      </c>
      <c r="C486">
        <v>3.7721105200188523E-6</v>
      </c>
      <c r="D486">
        <v>-213.80463250301182</v>
      </c>
      <c r="E486">
        <v>20.295681970202633</v>
      </c>
      <c r="F486">
        <v>2234.9762609032477</v>
      </c>
      <c r="G486">
        <v>9703.232834084698</v>
      </c>
      <c r="H486">
        <v>68999.031004098055</v>
      </c>
      <c r="I486">
        <v>370320.41010114661</v>
      </c>
      <c r="J486">
        <v>7233293.5788544277</v>
      </c>
      <c r="K486" s="68">
        <v>7729133.2212594431</v>
      </c>
    </row>
    <row r="487" spans="1:11" x14ac:dyDescent="0.35">
      <c r="A487">
        <v>487</v>
      </c>
      <c r="B487">
        <v>1.3261213931856225E-8</v>
      </c>
      <c r="C487">
        <v>4.6838979504419002E-6</v>
      </c>
      <c r="D487">
        <v>-175.53528440743685</v>
      </c>
      <c r="E487">
        <v>23.589740502987606</v>
      </c>
      <c r="F487">
        <v>2308.8535129576417</v>
      </c>
      <c r="G487">
        <v>9726.1674684928075</v>
      </c>
      <c r="H487">
        <v>69064.017868038718</v>
      </c>
      <c r="I487">
        <v>371105.36683239171</v>
      </c>
      <c r="J487">
        <v>7236283.0146038858</v>
      </c>
      <c r="K487" s="68">
        <v>7729794.330435344</v>
      </c>
    </row>
    <row r="488" spans="1:11" x14ac:dyDescent="0.35">
      <c r="A488">
        <v>488</v>
      </c>
      <c r="B488">
        <v>1.4204118612121209E-8</v>
      </c>
      <c r="C488">
        <v>6.1744097780256763E-6</v>
      </c>
      <c r="D488">
        <v>-165.21140037803275</v>
      </c>
      <c r="E488">
        <v>24.471999503875519</v>
      </c>
      <c r="F488">
        <v>2341.9802348746357</v>
      </c>
      <c r="G488">
        <v>9731.4679828720145</v>
      </c>
      <c r="H488">
        <v>69302.54042542135</v>
      </c>
      <c r="I488">
        <v>371592.23837350623</v>
      </c>
      <c r="J488">
        <v>7238840.8378225686</v>
      </c>
      <c r="K488" s="68">
        <v>7732351.5071624862</v>
      </c>
    </row>
    <row r="489" spans="1:11" x14ac:dyDescent="0.35">
      <c r="A489">
        <v>489</v>
      </c>
      <c r="B489">
        <v>1.6167824253028474E-8</v>
      </c>
      <c r="C489">
        <v>8.9604675405162247E-6</v>
      </c>
      <c r="D489">
        <v>-164.43871735244011</v>
      </c>
      <c r="E489">
        <v>26.046138744303789</v>
      </c>
      <c r="F489">
        <v>2382.9900357182669</v>
      </c>
      <c r="G489">
        <v>9734.8480449667586</v>
      </c>
      <c r="H489">
        <v>69426.355392561469</v>
      </c>
      <c r="I489">
        <v>371642.37318605767</v>
      </c>
      <c r="J489">
        <v>7239657.7641499117</v>
      </c>
      <c r="K489" s="68">
        <v>7733197.6099583823</v>
      </c>
    </row>
    <row r="490" spans="1:11" x14ac:dyDescent="0.35">
      <c r="A490">
        <v>490</v>
      </c>
      <c r="B490">
        <v>1.9446570058259671E-8</v>
      </c>
      <c r="C490">
        <v>1.1099646360329026E-5</v>
      </c>
      <c r="D490">
        <v>-136.60475741317015</v>
      </c>
      <c r="E490">
        <v>29.631428440355883</v>
      </c>
      <c r="F490">
        <v>2398.9775331561445</v>
      </c>
      <c r="G490">
        <v>9879.2149039286378</v>
      </c>
      <c r="H490">
        <v>69479.725076480565</v>
      </c>
      <c r="I490">
        <v>371864.90050689201</v>
      </c>
      <c r="J490">
        <v>7241293.8764587436</v>
      </c>
      <c r="K490" s="68">
        <v>7733791.6994722635</v>
      </c>
    </row>
    <row r="491" spans="1:11" x14ac:dyDescent="0.35">
      <c r="A491">
        <v>491</v>
      </c>
      <c r="B491">
        <v>2.327936679057748E-8</v>
      </c>
      <c r="C491">
        <v>1.3505289451244464E-5</v>
      </c>
      <c r="D491">
        <v>-135.35972640752183</v>
      </c>
      <c r="E491">
        <v>32.780617072164077</v>
      </c>
      <c r="F491">
        <v>2523.7425368956451</v>
      </c>
      <c r="G491">
        <v>10001.561444528779</v>
      </c>
      <c r="H491">
        <v>69480.428066536857</v>
      </c>
      <c r="I491">
        <v>372198.79302739509</v>
      </c>
      <c r="J491">
        <v>7242931.4926698329</v>
      </c>
      <c r="K491" s="68">
        <v>7734258.6298593767</v>
      </c>
    </row>
    <row r="492" spans="1:11" x14ac:dyDescent="0.35">
      <c r="A492">
        <v>492</v>
      </c>
      <c r="B492">
        <v>2.8115985717921783E-8</v>
      </c>
      <c r="C492">
        <v>1.4202785715208774E-5</v>
      </c>
      <c r="D492">
        <v>-132.50281084576181</v>
      </c>
      <c r="E492">
        <v>36.848668834747116</v>
      </c>
      <c r="F492">
        <v>2553.2288838003933</v>
      </c>
      <c r="G492">
        <v>10049.167662265942</v>
      </c>
      <c r="H492">
        <v>69487.098604656348</v>
      </c>
      <c r="I492">
        <v>372513.90128728637</v>
      </c>
      <c r="J492">
        <v>7245265.073320929</v>
      </c>
      <c r="K492" s="68">
        <v>7735905.9283399116</v>
      </c>
    </row>
    <row r="493" spans="1:11" x14ac:dyDescent="0.35">
      <c r="A493">
        <v>493</v>
      </c>
      <c r="B493">
        <v>3.6575467816218387E-8</v>
      </c>
      <c r="C493">
        <v>1.6605629524147605E-5</v>
      </c>
      <c r="D493">
        <v>-114.60672506924541</v>
      </c>
      <c r="E493">
        <v>41.353888721769259</v>
      </c>
      <c r="F493">
        <v>2584.6790544623636</v>
      </c>
      <c r="G493">
        <v>10186.658738607042</v>
      </c>
      <c r="H493">
        <v>69546.758668956827</v>
      </c>
      <c r="I493">
        <v>373112.66462035256</v>
      </c>
      <c r="J493">
        <v>7247758.616415929</v>
      </c>
      <c r="K493" s="68">
        <v>7736801.014260672</v>
      </c>
    </row>
    <row r="494" spans="1:11" x14ac:dyDescent="0.35">
      <c r="A494">
        <v>494</v>
      </c>
      <c r="B494">
        <v>3.7315274914878289E-8</v>
      </c>
      <c r="C494">
        <v>6.3313197119370477E-5</v>
      </c>
      <c r="D494">
        <v>-106.14013695710403</v>
      </c>
      <c r="E494">
        <v>54.791389246367437</v>
      </c>
      <c r="F494">
        <v>2639.4916378469939</v>
      </c>
      <c r="G494">
        <v>10216.648364258503</v>
      </c>
      <c r="H494">
        <v>69664.916912235378</v>
      </c>
      <c r="I494">
        <v>373518.55408542062</v>
      </c>
      <c r="J494">
        <v>7249005.2624974772</v>
      </c>
      <c r="K494" s="68">
        <v>7737515.5821210817</v>
      </c>
    </row>
    <row r="495" spans="1:11" x14ac:dyDescent="0.35">
      <c r="A495">
        <v>495</v>
      </c>
      <c r="B495">
        <v>6.4775791655195992E-8</v>
      </c>
      <c r="C495">
        <v>7.1221231380490629E-5</v>
      </c>
      <c r="D495">
        <v>-105.71038544179127</v>
      </c>
      <c r="E495">
        <v>77.215603990943492</v>
      </c>
      <c r="F495">
        <v>2651.1508664095982</v>
      </c>
      <c r="G495">
        <v>10221.676514263037</v>
      </c>
      <c r="H495">
        <v>69854.181633491025</v>
      </c>
      <c r="I495">
        <v>373771.28207992937</v>
      </c>
      <c r="J495">
        <v>7253346.2411261331</v>
      </c>
      <c r="K495" s="68">
        <v>7738136.5765280239</v>
      </c>
    </row>
    <row r="496" spans="1:11" x14ac:dyDescent="0.35">
      <c r="A496">
        <v>496</v>
      </c>
      <c r="B496">
        <v>7.0346568126569879E-8</v>
      </c>
      <c r="C496">
        <v>8.7763900284370456E-5</v>
      </c>
      <c r="D496">
        <v>-101.11255745365759</v>
      </c>
      <c r="E496">
        <v>96.349160293138354</v>
      </c>
      <c r="F496">
        <v>2656.534725606381</v>
      </c>
      <c r="G496">
        <v>10299.092500569192</v>
      </c>
      <c r="H496">
        <v>70246.937689028055</v>
      </c>
      <c r="I496">
        <v>374003.29441029491</v>
      </c>
      <c r="J496">
        <v>7254685.5154370759</v>
      </c>
      <c r="K496" s="68">
        <v>7738549.6958947117</v>
      </c>
    </row>
    <row r="497" spans="1:11" x14ac:dyDescent="0.35">
      <c r="A497">
        <v>497</v>
      </c>
      <c r="B497">
        <v>1.3321890394333815E-7</v>
      </c>
      <c r="C497">
        <v>1.3992520498725552E-4</v>
      </c>
      <c r="D497">
        <v>-93.572939884736726</v>
      </c>
      <c r="E497">
        <v>96.864231260654648</v>
      </c>
      <c r="F497">
        <v>2686.035281510864</v>
      </c>
      <c r="G497">
        <v>10301.755922606</v>
      </c>
      <c r="H497">
        <v>70267.102406247854</v>
      </c>
      <c r="I497">
        <v>374140.73451451934</v>
      </c>
      <c r="J497">
        <v>7254850.7310744766</v>
      </c>
      <c r="K497" s="68">
        <v>7740069.7191787763</v>
      </c>
    </row>
    <row r="498" spans="1:11" x14ac:dyDescent="0.35">
      <c r="A498">
        <v>498</v>
      </c>
      <c r="B498">
        <v>1.7354040805962448E-7</v>
      </c>
      <c r="C498">
        <v>1.4544779281353516E-4</v>
      </c>
      <c r="D498">
        <v>-81.253347818178398</v>
      </c>
      <c r="E498">
        <v>104.65487172503857</v>
      </c>
      <c r="F498">
        <v>2686.9538987495303</v>
      </c>
      <c r="G498">
        <v>10344.101931814977</v>
      </c>
      <c r="H498">
        <v>70294.758155227421</v>
      </c>
      <c r="I498">
        <v>374596.4249673023</v>
      </c>
      <c r="J498">
        <v>7254956.3280583741</v>
      </c>
      <c r="K498" s="68">
        <v>7740084.0988967102</v>
      </c>
    </row>
    <row r="499" spans="1:11" x14ac:dyDescent="0.35">
      <c r="A499">
        <v>499</v>
      </c>
      <c r="B499">
        <v>2.8573910472541061E-7</v>
      </c>
      <c r="C499">
        <v>1.9108617788153709E-4</v>
      </c>
      <c r="D499">
        <v>-59.41971768017234</v>
      </c>
      <c r="E499">
        <v>107.55660862754897</v>
      </c>
      <c r="F499">
        <v>2760.8697394473734</v>
      </c>
      <c r="G499">
        <v>10412.781635812375</v>
      </c>
      <c r="H499">
        <v>70402.490836963858</v>
      </c>
      <c r="I499">
        <v>374763.65926422633</v>
      </c>
      <c r="J499">
        <v>7257043.3888759576</v>
      </c>
      <c r="K499" s="68">
        <v>7740588.4246624038</v>
      </c>
    </row>
    <row r="500" spans="1:11" x14ac:dyDescent="0.35">
      <c r="A500">
        <v>500</v>
      </c>
      <c r="B500">
        <v>3.2502305831568972E-7</v>
      </c>
      <c r="C500">
        <v>2.9741210417150252E-4</v>
      </c>
      <c r="D500">
        <v>-8.7899893126053144</v>
      </c>
      <c r="E500">
        <v>118.20417883798501</v>
      </c>
      <c r="F500">
        <v>2780.636069032209</v>
      </c>
      <c r="G500">
        <v>10421.756504154035</v>
      </c>
      <c r="H500">
        <v>70573.31908922008</v>
      </c>
      <c r="I500">
        <v>375104.53232835431</v>
      </c>
      <c r="J500">
        <v>7257734.5125927338</v>
      </c>
      <c r="K500" s="68">
        <v>7742158.1097829584</v>
      </c>
    </row>
    <row r="501" spans="1:11" x14ac:dyDescent="0.35">
      <c r="A501">
        <v>501</v>
      </c>
      <c r="B501">
        <v>5.2813421091751157E-7</v>
      </c>
      <c r="C501">
        <v>9.7658060401563103E-4</v>
      </c>
      <c r="D501">
        <v>5.6190348765551612E-16</v>
      </c>
      <c r="E501">
        <v>124.87466701646343</v>
      </c>
      <c r="F501">
        <v>2836.4053018525588</v>
      </c>
      <c r="G501">
        <v>10450.698903869385</v>
      </c>
      <c r="H501">
        <v>70605.873538572007</v>
      </c>
      <c r="I501">
        <v>375222.79163544544</v>
      </c>
      <c r="J501">
        <v>7261137.4175317101</v>
      </c>
      <c r="K501" s="68">
        <v>7744160.8499403428</v>
      </c>
    </row>
    <row r="502" spans="1:11" x14ac:dyDescent="0.35">
      <c r="A502">
        <v>502</v>
      </c>
      <c r="B502">
        <v>5.9094539826809108E-7</v>
      </c>
      <c r="C502">
        <v>1.4144631679084527E-3</v>
      </c>
      <c r="D502">
        <v>9.4495864762744497E-11</v>
      </c>
      <c r="E502">
        <v>129.86543175910015</v>
      </c>
      <c r="F502">
        <v>2847.0894778665775</v>
      </c>
      <c r="G502">
        <v>10476.99140678293</v>
      </c>
      <c r="H502">
        <v>70629.204926280567</v>
      </c>
      <c r="I502">
        <v>375669.37321178493</v>
      </c>
      <c r="J502">
        <v>7261650.1335883904</v>
      </c>
      <c r="K502" s="68">
        <v>7744954.0890351366</v>
      </c>
    </row>
    <row r="503" spans="1:11" x14ac:dyDescent="0.35">
      <c r="A503">
        <v>503</v>
      </c>
      <c r="B503">
        <v>6.1343944140259503E-7</v>
      </c>
      <c r="C503">
        <v>1.789320273556186E-3</v>
      </c>
      <c r="D503">
        <v>1.1669210948050348E-7</v>
      </c>
      <c r="E503">
        <v>133.54261280942842</v>
      </c>
      <c r="F503">
        <v>2847.7469012015663</v>
      </c>
      <c r="G503">
        <v>10478.644451734925</v>
      </c>
      <c r="H503">
        <v>70743.210305535409</v>
      </c>
      <c r="I503">
        <v>377035.80016100209</v>
      </c>
      <c r="J503">
        <v>7262109.5978850471</v>
      </c>
      <c r="K503" s="68">
        <v>7745437.2222572891</v>
      </c>
    </row>
    <row r="504" spans="1:11" x14ac:dyDescent="0.35">
      <c r="A504">
        <v>504</v>
      </c>
      <c r="B504">
        <v>6.443650938777843E-7</v>
      </c>
      <c r="C504">
        <v>1.8387751463121516E-3</v>
      </c>
      <c r="D504">
        <v>4.6954816255480506E-6</v>
      </c>
      <c r="E504">
        <v>139.71106644004317</v>
      </c>
      <c r="F504">
        <v>2860.1231108709244</v>
      </c>
      <c r="G504">
        <v>10505.630871438498</v>
      </c>
      <c r="H504">
        <v>70919.742673095418</v>
      </c>
      <c r="I504">
        <v>377311.46986832249</v>
      </c>
      <c r="J504">
        <v>7262116.469607613</v>
      </c>
      <c r="K504" s="68">
        <v>7746359.6393910563</v>
      </c>
    </row>
    <row r="505" spans="1:11" x14ac:dyDescent="0.35">
      <c r="A505">
        <v>505</v>
      </c>
      <c r="B505">
        <v>7.4367967874991273E-7</v>
      </c>
      <c r="C505">
        <v>2.3176176108077656E-3</v>
      </c>
      <c r="D505">
        <v>2.5077729365789116E-5</v>
      </c>
      <c r="E505">
        <v>149.63561558873587</v>
      </c>
      <c r="F505">
        <v>2861.9333885779497</v>
      </c>
      <c r="G505">
        <v>10624.874627755575</v>
      </c>
      <c r="H505">
        <v>71035.441548261442</v>
      </c>
      <c r="I505">
        <v>377337.46433058317</v>
      </c>
      <c r="J505">
        <v>7262714.5061173029</v>
      </c>
      <c r="K505" s="68">
        <v>7752959.2484854711</v>
      </c>
    </row>
    <row r="506" spans="1:11" x14ac:dyDescent="0.35">
      <c r="A506">
        <v>506</v>
      </c>
      <c r="B506">
        <v>9.5888998854136347E-7</v>
      </c>
      <c r="C506">
        <v>2.709837561357308E-3</v>
      </c>
      <c r="D506">
        <v>2.4182708524461962E-4</v>
      </c>
      <c r="E506">
        <v>150.69578906694576</v>
      </c>
      <c r="F506">
        <v>2884.2907069030312</v>
      </c>
      <c r="G506">
        <v>10634.502991732188</v>
      </c>
      <c r="H506">
        <v>71098.183088235513</v>
      </c>
      <c r="I506">
        <v>377533.70365642454</v>
      </c>
      <c r="J506">
        <v>7264068.464751251</v>
      </c>
      <c r="K506" s="68">
        <v>7754280.7361761024</v>
      </c>
    </row>
    <row r="507" spans="1:11" x14ac:dyDescent="0.35">
      <c r="A507">
        <v>507</v>
      </c>
      <c r="B507">
        <v>9.7486638247253745E-7</v>
      </c>
      <c r="C507">
        <v>3.3491867871393295E-3</v>
      </c>
      <c r="D507">
        <v>4.7485854288055788E-4</v>
      </c>
      <c r="E507">
        <v>151.89791292425303</v>
      </c>
      <c r="F507">
        <v>2890.8197906676651</v>
      </c>
      <c r="G507">
        <v>10649.666798811088</v>
      </c>
      <c r="H507">
        <v>71118.777754453782</v>
      </c>
      <c r="I507">
        <v>377682.10378199123</v>
      </c>
      <c r="J507">
        <v>7264780.4657819076</v>
      </c>
      <c r="K507" s="68">
        <v>7755752.2527411645</v>
      </c>
    </row>
    <row r="508" spans="1:11" x14ac:dyDescent="0.35">
      <c r="A508">
        <v>508</v>
      </c>
      <c r="B508">
        <v>9.7806049320358304E-7</v>
      </c>
      <c r="C508">
        <v>5.2485327927609231E-3</v>
      </c>
      <c r="D508">
        <v>6.6248442293487101E-4</v>
      </c>
      <c r="E508">
        <v>154.4617888462476</v>
      </c>
      <c r="F508">
        <v>2975.813792421427</v>
      </c>
      <c r="G508">
        <v>10722.518856714403</v>
      </c>
      <c r="H508">
        <v>71150.557671938848</v>
      </c>
      <c r="I508">
        <v>377849.63081151381</v>
      </c>
      <c r="J508">
        <v>7265812.0172266802</v>
      </c>
      <c r="K508" s="68">
        <v>7756538.9409546014</v>
      </c>
    </row>
    <row r="509" spans="1:11" x14ac:dyDescent="0.35">
      <c r="A509">
        <v>509</v>
      </c>
      <c r="B509">
        <v>1.3279462067303952E-6</v>
      </c>
      <c r="C509">
        <v>1.1186312199987666E-2</v>
      </c>
      <c r="D509">
        <v>1.0098242090977253E-3</v>
      </c>
      <c r="E509">
        <v>158.63853817813131</v>
      </c>
      <c r="F509">
        <v>3110.655787341901</v>
      </c>
      <c r="G509">
        <v>10739.566882278594</v>
      </c>
      <c r="H509">
        <v>71282.439588161753</v>
      </c>
      <c r="I509">
        <v>378605.83408376272</v>
      </c>
      <c r="J509">
        <v>7266341.5549370032</v>
      </c>
      <c r="K509" s="68">
        <v>7761905.6412107702</v>
      </c>
    </row>
    <row r="510" spans="1:11" x14ac:dyDescent="0.35">
      <c r="A510">
        <v>510</v>
      </c>
      <c r="B510">
        <v>1.4592322121941223E-6</v>
      </c>
      <c r="C510">
        <v>1.1973712479190112E-2</v>
      </c>
      <c r="D510">
        <v>1.2445486796255343E-3</v>
      </c>
      <c r="E510">
        <v>167.95002830908368</v>
      </c>
      <c r="F510">
        <v>3162.2643543168401</v>
      </c>
      <c r="G510">
        <v>10871.415046096288</v>
      </c>
      <c r="H510">
        <v>71732.685805499103</v>
      </c>
      <c r="I510">
        <v>378901.73238089116</v>
      </c>
      <c r="J510">
        <v>7267406.5025120182</v>
      </c>
      <c r="K510" s="68">
        <v>7763521.4039870445</v>
      </c>
    </row>
    <row r="511" spans="1:11" x14ac:dyDescent="0.35">
      <c r="A511">
        <v>511</v>
      </c>
      <c r="B511">
        <v>3.3104539065297905E-6</v>
      </c>
      <c r="C511">
        <v>1.4047676240008135E-2</v>
      </c>
      <c r="D511">
        <v>5.2577175031723938E-3</v>
      </c>
      <c r="E511">
        <v>184.21391966092185</v>
      </c>
      <c r="F511">
        <v>3262.6371997836177</v>
      </c>
      <c r="G511">
        <v>10896.703299475823</v>
      </c>
      <c r="H511">
        <v>71849.711223311329</v>
      </c>
      <c r="I511">
        <v>378902.89380118047</v>
      </c>
      <c r="J511">
        <v>7269042.4618572015</v>
      </c>
      <c r="K511" s="68">
        <v>7764953.1805746686</v>
      </c>
    </row>
    <row r="512" spans="1:11" x14ac:dyDescent="0.35">
      <c r="A512">
        <v>512</v>
      </c>
      <c r="B512">
        <v>3.8157980540569756E-6</v>
      </c>
      <c r="C512">
        <v>2.0682050829041114E-2</v>
      </c>
      <c r="D512">
        <v>5.6931250165015747E-3</v>
      </c>
      <c r="E512">
        <v>202.89976661850199</v>
      </c>
      <c r="F512">
        <v>3272.3298006099062</v>
      </c>
      <c r="G512">
        <v>10996.11356588596</v>
      </c>
      <c r="H512">
        <v>72134.688028675402</v>
      </c>
      <c r="I512">
        <v>379145.41751063761</v>
      </c>
      <c r="J512">
        <v>7269148.8166353535</v>
      </c>
      <c r="K512" s="68">
        <v>7765260.8441781504</v>
      </c>
    </row>
    <row r="513" spans="1:11" x14ac:dyDescent="0.35">
      <c r="A513">
        <v>513</v>
      </c>
      <c r="B513">
        <v>3.9062300305716319E-6</v>
      </c>
      <c r="C513">
        <v>2.2036012224977721E-2</v>
      </c>
      <c r="D513">
        <v>6.0509688472327053E-3</v>
      </c>
      <c r="E513">
        <v>204.32752975576531</v>
      </c>
      <c r="F513">
        <v>3406.8985747251131</v>
      </c>
      <c r="G513">
        <v>11008.607932420944</v>
      </c>
      <c r="H513">
        <v>72279.101729562375</v>
      </c>
      <c r="I513">
        <v>379260.58754065732</v>
      </c>
      <c r="J513">
        <v>7269951.3971677953</v>
      </c>
      <c r="K513" s="68">
        <v>7766470.0811369065</v>
      </c>
    </row>
    <row r="514" spans="1:11" x14ac:dyDescent="0.35">
      <c r="A514">
        <v>514</v>
      </c>
      <c r="B514">
        <v>4.2740233498444893E-6</v>
      </c>
      <c r="C514">
        <v>2.3301860384299398E-2</v>
      </c>
      <c r="D514">
        <v>1.1516624441178914E-2</v>
      </c>
      <c r="E514">
        <v>210.7411381548381</v>
      </c>
      <c r="F514">
        <v>3409.8412480676211</v>
      </c>
      <c r="G514">
        <v>11059.867341343379</v>
      </c>
      <c r="H514">
        <v>72482.074104105792</v>
      </c>
      <c r="I514">
        <v>379474.53596519597</v>
      </c>
      <c r="J514">
        <v>7272995.9850987159</v>
      </c>
      <c r="K514" s="68">
        <v>7767696.1374354679</v>
      </c>
    </row>
    <row r="515" spans="1:11" x14ac:dyDescent="0.35">
      <c r="A515">
        <v>515</v>
      </c>
      <c r="B515">
        <v>4.9312570794444843E-6</v>
      </c>
      <c r="C515">
        <v>3.4198556240379409E-2</v>
      </c>
      <c r="D515">
        <v>1.2134866527289906E-2</v>
      </c>
      <c r="E515">
        <v>221.18777509140511</v>
      </c>
      <c r="F515">
        <v>3610.2677783635913</v>
      </c>
      <c r="G515">
        <v>11107.013774000357</v>
      </c>
      <c r="H515">
        <v>73119.033307907404</v>
      </c>
      <c r="I515">
        <v>379557.54462522076</v>
      </c>
      <c r="J515">
        <v>7274378.3495667698</v>
      </c>
      <c r="K515" s="68">
        <v>7767707.0125004631</v>
      </c>
    </row>
    <row r="516" spans="1:11" x14ac:dyDescent="0.35">
      <c r="A516">
        <v>516</v>
      </c>
      <c r="B516">
        <v>4.9538223358427471E-6</v>
      </c>
      <c r="C516">
        <v>4.8054215339975281E-2</v>
      </c>
      <c r="D516">
        <v>3.7492584306773248E-2</v>
      </c>
      <c r="E516">
        <v>232.03400956789986</v>
      </c>
      <c r="F516">
        <v>3616.4370516114273</v>
      </c>
      <c r="G516">
        <v>11180.131783738894</v>
      </c>
      <c r="H516">
        <v>73163.013915724252</v>
      </c>
      <c r="I516">
        <v>379767.99696648773</v>
      </c>
      <c r="J516">
        <v>7274880.9646921223</v>
      </c>
      <c r="K516" s="68">
        <v>7770779.1346204318</v>
      </c>
    </row>
    <row r="517" spans="1:11" x14ac:dyDescent="0.35">
      <c r="A517">
        <v>517</v>
      </c>
      <c r="B517">
        <v>5.2788416403232689E-6</v>
      </c>
      <c r="C517">
        <v>7.4484989025723411E-2</v>
      </c>
      <c r="D517">
        <v>0.1017253437554342</v>
      </c>
      <c r="E517">
        <v>235.79568155114035</v>
      </c>
      <c r="F517">
        <v>3641.3617703574037</v>
      </c>
      <c r="G517">
        <v>11311.145388563074</v>
      </c>
      <c r="H517">
        <v>73447.902585888805</v>
      </c>
      <c r="I517">
        <v>379892.25750097027</v>
      </c>
      <c r="J517">
        <v>7275400.7716741683</v>
      </c>
      <c r="K517" s="68">
        <v>7770917.4768705834</v>
      </c>
    </row>
    <row r="518" spans="1:11" x14ac:dyDescent="0.35">
      <c r="A518">
        <v>518</v>
      </c>
      <c r="B518">
        <v>5.4701924415925942E-6</v>
      </c>
      <c r="C518">
        <v>7.8133269472830363E-2</v>
      </c>
      <c r="D518">
        <v>0.17640978755987427</v>
      </c>
      <c r="E518">
        <v>244.4865330302278</v>
      </c>
      <c r="F518">
        <v>3646.0107599871803</v>
      </c>
      <c r="G518">
        <v>11336.20546537729</v>
      </c>
      <c r="H518">
        <v>73513.119681784374</v>
      </c>
      <c r="I518">
        <v>380007.91714130453</v>
      </c>
      <c r="J518">
        <v>7281098.0403485745</v>
      </c>
      <c r="K518" s="68">
        <v>7773048.0585265616</v>
      </c>
    </row>
    <row r="519" spans="1:11" x14ac:dyDescent="0.35">
      <c r="A519">
        <v>519</v>
      </c>
      <c r="B519">
        <v>7.4712498003217242E-6</v>
      </c>
      <c r="C519">
        <v>0.14929407798192837</v>
      </c>
      <c r="D519">
        <v>0.19443107935698048</v>
      </c>
      <c r="E519">
        <v>265.37649070024008</v>
      </c>
      <c r="F519">
        <v>3648.8993226004477</v>
      </c>
      <c r="G519">
        <v>11367.392004170584</v>
      </c>
      <c r="H519">
        <v>73874.058224975714</v>
      </c>
      <c r="I519">
        <v>380317.20224301796</v>
      </c>
      <c r="J519">
        <v>7281697.4245731458</v>
      </c>
      <c r="K519" s="68">
        <v>7773055.385307841</v>
      </c>
    </row>
    <row r="520" spans="1:11" x14ac:dyDescent="0.35">
      <c r="A520">
        <v>520</v>
      </c>
      <c r="B520">
        <v>8.0067741720319324E-6</v>
      </c>
      <c r="C520">
        <v>0.18589059282950435</v>
      </c>
      <c r="D520">
        <v>0.34392678117325848</v>
      </c>
      <c r="E520">
        <v>279.51947942247011</v>
      </c>
      <c r="F520">
        <v>3699.1153743968912</v>
      </c>
      <c r="G520">
        <v>11412.106121723627</v>
      </c>
      <c r="H520">
        <v>73914.341101038997</v>
      </c>
      <c r="I520">
        <v>381070.36024370161</v>
      </c>
      <c r="J520">
        <v>7283159.1892323196</v>
      </c>
      <c r="K520" s="68">
        <v>7773727.5741239851</v>
      </c>
    </row>
    <row r="521" spans="1:11" x14ac:dyDescent="0.35">
      <c r="A521">
        <v>521</v>
      </c>
      <c r="B521">
        <v>1.1006217281810414E-5</v>
      </c>
      <c r="C521">
        <v>0.19030698170808619</v>
      </c>
      <c r="D521">
        <v>0.72109397058920011</v>
      </c>
      <c r="E521">
        <v>286.92038198037062</v>
      </c>
      <c r="F521">
        <v>3712.3194107985537</v>
      </c>
      <c r="G521">
        <v>11578.073263226122</v>
      </c>
      <c r="H521">
        <v>74007.31467139718</v>
      </c>
      <c r="I521">
        <v>381093.03061240609</v>
      </c>
      <c r="J521">
        <v>7283307.3388079852</v>
      </c>
      <c r="K521" s="68">
        <v>7773905.0587142389</v>
      </c>
    </row>
    <row r="522" spans="1:11" x14ac:dyDescent="0.35">
      <c r="A522">
        <v>522</v>
      </c>
      <c r="B522">
        <v>1.4241350361103288E-5</v>
      </c>
      <c r="C522">
        <v>0.25975026039603688</v>
      </c>
      <c r="D522">
        <v>0.78379000341940852</v>
      </c>
      <c r="E522">
        <v>297.42178448693068</v>
      </c>
      <c r="F522">
        <v>3750.1862233976822</v>
      </c>
      <c r="G522">
        <v>11660.139066041496</v>
      </c>
      <c r="H522">
        <v>74048.834347947399</v>
      </c>
      <c r="I522">
        <v>382340.13260560925</v>
      </c>
      <c r="J522">
        <v>7285733.3960327068</v>
      </c>
      <c r="K522" s="68">
        <v>7775086.3608810306</v>
      </c>
    </row>
    <row r="523" spans="1:11" x14ac:dyDescent="0.35">
      <c r="A523">
        <v>523</v>
      </c>
      <c r="B523">
        <v>1.5535092429353582E-5</v>
      </c>
      <c r="C523">
        <v>0.30289190903511837</v>
      </c>
      <c r="D523">
        <v>0.89219254282802396</v>
      </c>
      <c r="E523">
        <v>313.5695094709094</v>
      </c>
      <c r="F523">
        <v>3790.350088700945</v>
      </c>
      <c r="G523">
        <v>11774.672057080941</v>
      </c>
      <c r="H523">
        <v>74128.757625065904</v>
      </c>
      <c r="I523">
        <v>382842.69377874152</v>
      </c>
      <c r="J523">
        <v>7285748.8098788159</v>
      </c>
      <c r="K523" s="68">
        <v>7775969.4387585297</v>
      </c>
    </row>
    <row r="524" spans="1:11" x14ac:dyDescent="0.35">
      <c r="A524">
        <v>524</v>
      </c>
      <c r="B524">
        <v>1.8788609639130658E-5</v>
      </c>
      <c r="C524">
        <v>0.31371505031770214</v>
      </c>
      <c r="D524">
        <v>1.2718121192462313</v>
      </c>
      <c r="E524">
        <v>330.93439806486822</v>
      </c>
      <c r="F524">
        <v>3810.3001841326368</v>
      </c>
      <c r="G524">
        <v>11878.587257284411</v>
      </c>
      <c r="H524">
        <v>74162.774101612871</v>
      </c>
      <c r="I524">
        <v>383215.62360271742</v>
      </c>
      <c r="J524">
        <v>7287869.5893801469</v>
      </c>
      <c r="K524" s="68">
        <v>7777489.2720719557</v>
      </c>
    </row>
    <row r="525" spans="1:11" x14ac:dyDescent="0.35">
      <c r="A525">
        <v>525</v>
      </c>
      <c r="B525">
        <v>2.0289010840516725E-5</v>
      </c>
      <c r="C525">
        <v>0.32388883728590551</v>
      </c>
      <c r="D525">
        <v>1.4997529722353971</v>
      </c>
      <c r="E525">
        <v>332.49684827022696</v>
      </c>
      <c r="F525">
        <v>3828.0300852436785</v>
      </c>
      <c r="G525">
        <v>12109.890785750202</v>
      </c>
      <c r="H525">
        <v>74185.228743052867</v>
      </c>
      <c r="I525">
        <v>383506.16934321442</v>
      </c>
      <c r="J525">
        <v>7288266.7348379288</v>
      </c>
      <c r="K525" s="68">
        <v>7778927.9262148123</v>
      </c>
    </row>
    <row r="526" spans="1:11" x14ac:dyDescent="0.35">
      <c r="A526">
        <v>526</v>
      </c>
      <c r="B526">
        <v>2.0395505472079283E-5</v>
      </c>
      <c r="C526">
        <v>0.35140366343852664</v>
      </c>
      <c r="D526">
        <v>3.0453499110509523</v>
      </c>
      <c r="E526">
        <v>365.07995645911632</v>
      </c>
      <c r="F526">
        <v>3856.4369730782664</v>
      </c>
      <c r="G526">
        <v>12119.132474999706</v>
      </c>
      <c r="H526">
        <v>74460.877973238181</v>
      </c>
      <c r="I526">
        <v>383615.03563535836</v>
      </c>
      <c r="J526">
        <v>7288315.9077176312</v>
      </c>
      <c r="K526" s="68">
        <v>7781482.9624134097</v>
      </c>
    </row>
    <row r="527" spans="1:11" x14ac:dyDescent="0.35">
      <c r="A527">
        <v>527</v>
      </c>
      <c r="B527">
        <v>2.1394629425898716E-5</v>
      </c>
      <c r="C527">
        <v>0.35197710164208412</v>
      </c>
      <c r="D527">
        <v>3.1061479557310694</v>
      </c>
      <c r="E527">
        <v>373.18375614574046</v>
      </c>
      <c r="F527">
        <v>3876.2379087653771</v>
      </c>
      <c r="G527">
        <v>12125.760213322934</v>
      </c>
      <c r="H527">
        <v>74490.734028761217</v>
      </c>
      <c r="I527">
        <v>384422.02572858002</v>
      </c>
      <c r="J527">
        <v>7290459.5939512262</v>
      </c>
      <c r="K527" s="68">
        <v>7785387.6621293323</v>
      </c>
    </row>
    <row r="528" spans="1:11" x14ac:dyDescent="0.35">
      <c r="A528">
        <v>528</v>
      </c>
      <c r="B528">
        <v>2.616302590159128E-5</v>
      </c>
      <c r="C528">
        <v>0.48145811921176579</v>
      </c>
      <c r="D528">
        <v>4.6874470333289588</v>
      </c>
      <c r="E528">
        <v>376.41617469750554</v>
      </c>
      <c r="F528">
        <v>3912.8740397726615</v>
      </c>
      <c r="G528">
        <v>12145.598391316913</v>
      </c>
      <c r="H528">
        <v>74617.23454232834</v>
      </c>
      <c r="I528">
        <v>384714.73390201194</v>
      </c>
      <c r="J528">
        <v>7291800.464658469</v>
      </c>
      <c r="K528" s="68">
        <v>7785445.7487828108</v>
      </c>
    </row>
    <row r="529" spans="1:11" x14ac:dyDescent="0.35">
      <c r="A529">
        <v>529</v>
      </c>
      <c r="B529">
        <v>3.6054574133064391E-5</v>
      </c>
      <c r="C529">
        <v>0.71809362655191822</v>
      </c>
      <c r="D529">
        <v>5.7616245040833967</v>
      </c>
      <c r="E529">
        <v>389.30354482275902</v>
      </c>
      <c r="F529">
        <v>3950.3029189629206</v>
      </c>
      <c r="G529">
        <v>12337.346402450134</v>
      </c>
      <c r="H529">
        <v>74825.35568149497</v>
      </c>
      <c r="I529">
        <v>385438.4062377715</v>
      </c>
      <c r="J529">
        <v>7294045.183857006</v>
      </c>
      <c r="K529" s="68">
        <v>7787390.8437295109</v>
      </c>
    </row>
    <row r="530" spans="1:11" x14ac:dyDescent="0.35">
      <c r="A530">
        <v>530</v>
      </c>
      <c r="B530">
        <v>3.9537496676246088E-5</v>
      </c>
      <c r="C530">
        <v>0.8750223080306484</v>
      </c>
      <c r="D530">
        <v>7.4590305965811474</v>
      </c>
      <c r="E530">
        <v>398.96607527058262</v>
      </c>
      <c r="F530">
        <v>4113.5670646125445</v>
      </c>
      <c r="G530">
        <v>12419.211711502148</v>
      </c>
      <c r="H530">
        <v>75216.523673881631</v>
      </c>
      <c r="I530">
        <v>385455.99095043523</v>
      </c>
      <c r="J530">
        <v>7294260.9859502427</v>
      </c>
      <c r="K530" s="68">
        <v>7790298.8497171933</v>
      </c>
    </row>
    <row r="531" spans="1:11" x14ac:dyDescent="0.35">
      <c r="A531">
        <v>531</v>
      </c>
      <c r="B531">
        <v>4.1618304721130057E-5</v>
      </c>
      <c r="C531">
        <v>1.1248808371628483</v>
      </c>
      <c r="D531">
        <v>9.9364335289031835</v>
      </c>
      <c r="E531">
        <v>405.89748642130485</v>
      </c>
      <c r="F531">
        <v>4172.8739501572963</v>
      </c>
      <c r="G531">
        <v>12491.208582375439</v>
      </c>
      <c r="H531">
        <v>75216.817538757023</v>
      </c>
      <c r="I531">
        <v>385536.52882936352</v>
      </c>
      <c r="J531">
        <v>7296612.1511435593</v>
      </c>
      <c r="K531" s="68">
        <v>7791894.0547160823</v>
      </c>
    </row>
    <row r="532" spans="1:11" x14ac:dyDescent="0.35">
      <c r="A532">
        <v>532</v>
      </c>
      <c r="B532">
        <v>5.3786336023484716E-5</v>
      </c>
      <c r="C532">
        <v>1.1626081612891539</v>
      </c>
      <c r="D532">
        <v>11.082382708740537</v>
      </c>
      <c r="E532">
        <v>416.11910823694404</v>
      </c>
      <c r="F532">
        <v>4184.4445276613342</v>
      </c>
      <c r="G532">
        <v>12680.638511182891</v>
      </c>
      <c r="H532">
        <v>75232.471070538348</v>
      </c>
      <c r="I532">
        <v>386016.03006296733</v>
      </c>
      <c r="J532">
        <v>7296759.3323092032</v>
      </c>
      <c r="K532" s="68">
        <v>7793137.0961661823</v>
      </c>
    </row>
    <row r="533" spans="1:11" x14ac:dyDescent="0.35">
      <c r="A533">
        <v>533</v>
      </c>
      <c r="B533">
        <v>5.7302019019507026E-5</v>
      </c>
      <c r="C533">
        <v>1.4002578703936239</v>
      </c>
      <c r="D533">
        <v>11.776111128752348</v>
      </c>
      <c r="E533">
        <v>424.45493694937409</v>
      </c>
      <c r="F533">
        <v>4199.8096580291349</v>
      </c>
      <c r="G533">
        <v>12772.477759711386</v>
      </c>
      <c r="H533">
        <v>75287.286643625092</v>
      </c>
      <c r="I533">
        <v>386475.98981004476</v>
      </c>
      <c r="J533">
        <v>7297500.402674621</v>
      </c>
      <c r="K533" s="68">
        <v>7793856.8684240142</v>
      </c>
    </row>
    <row r="534" spans="1:11" x14ac:dyDescent="0.35">
      <c r="A534">
        <v>534</v>
      </c>
      <c r="B534">
        <v>6.0960968095884462E-5</v>
      </c>
      <c r="C534">
        <v>1.4899639924790775</v>
      </c>
      <c r="D534">
        <v>12.432779900771326</v>
      </c>
      <c r="E534">
        <v>435.93291452583873</v>
      </c>
      <c r="F534">
        <v>4264.5523768773819</v>
      </c>
      <c r="G534">
        <v>12821.215673995583</v>
      </c>
      <c r="H534">
        <v>75320.084474781412</v>
      </c>
      <c r="I534">
        <v>386798.91076230467</v>
      </c>
      <c r="J534">
        <v>7298881.325886745</v>
      </c>
      <c r="K534" s="68">
        <v>7796549.8140617684</v>
      </c>
    </row>
    <row r="535" spans="1:11" x14ac:dyDescent="0.35">
      <c r="A535">
        <v>535</v>
      </c>
      <c r="B535">
        <v>6.2472425032133127E-5</v>
      </c>
      <c r="C535">
        <v>1.7246276120860289</v>
      </c>
      <c r="D535">
        <v>13.086052331454708</v>
      </c>
      <c r="E535">
        <v>445.03065045421141</v>
      </c>
      <c r="F535">
        <v>4375.3675559751991</v>
      </c>
      <c r="G535">
        <v>13005.253004413891</v>
      </c>
      <c r="H535">
        <v>75375.322440789256</v>
      </c>
      <c r="I535">
        <v>387475.77434538194</v>
      </c>
      <c r="J535">
        <v>7299322.3124640863</v>
      </c>
      <c r="K535" s="68">
        <v>7797933.6260779165</v>
      </c>
    </row>
    <row r="536" spans="1:11" x14ac:dyDescent="0.35">
      <c r="A536">
        <v>536</v>
      </c>
      <c r="B536">
        <v>9.3701255945781024E-5</v>
      </c>
      <c r="C536">
        <v>1.8489861225172355</v>
      </c>
      <c r="D536">
        <v>13.710042629292936</v>
      </c>
      <c r="E536">
        <v>459.03624096419651</v>
      </c>
      <c r="F536">
        <v>4533.9339164797339</v>
      </c>
      <c r="G536">
        <v>13080.20653968739</v>
      </c>
      <c r="H536">
        <v>75578.334837897128</v>
      </c>
      <c r="I536">
        <v>387765.07241012953</v>
      </c>
      <c r="J536">
        <v>7301938.4156151535</v>
      </c>
      <c r="K536" s="68">
        <v>7798699.1631618673</v>
      </c>
    </row>
    <row r="537" spans="1:11" x14ac:dyDescent="0.35">
      <c r="A537">
        <v>537</v>
      </c>
      <c r="B537">
        <v>1.6043654945071262E-4</v>
      </c>
      <c r="C537">
        <v>1.8661189087608652</v>
      </c>
      <c r="D537">
        <v>19.206421576783981</v>
      </c>
      <c r="E537">
        <v>468.89398977346445</v>
      </c>
      <c r="F537">
        <v>4683.9506505758773</v>
      </c>
      <c r="G537">
        <v>13141.662057816338</v>
      </c>
      <c r="H537">
        <v>75716.220644574598</v>
      </c>
      <c r="I537">
        <v>388008.32401901577</v>
      </c>
      <c r="J537">
        <v>7302430.9709141776</v>
      </c>
      <c r="K537" s="68">
        <v>7798869.926838587</v>
      </c>
    </row>
    <row r="538" spans="1:11" x14ac:dyDescent="0.35">
      <c r="A538">
        <v>538</v>
      </c>
      <c r="B538">
        <v>1.7001479243430244E-4</v>
      </c>
      <c r="C538">
        <v>2.0221015237809579</v>
      </c>
      <c r="D538">
        <v>22.473449442513097</v>
      </c>
      <c r="E538">
        <v>480.88116790278923</v>
      </c>
      <c r="F538">
        <v>4688.0913551223939</v>
      </c>
      <c r="G538">
        <v>13381.84085647919</v>
      </c>
      <c r="H538">
        <v>75748.311413074145</v>
      </c>
      <c r="I538">
        <v>388381.70902766124</v>
      </c>
      <c r="J538">
        <v>7303944.4602996437</v>
      </c>
      <c r="K538" s="68">
        <v>7800685.942944726</v>
      </c>
    </row>
    <row r="539" spans="1:11" x14ac:dyDescent="0.35">
      <c r="A539">
        <v>539</v>
      </c>
      <c r="B539">
        <v>1.8376203153336947E-4</v>
      </c>
      <c r="C539">
        <v>2.2059054983512181</v>
      </c>
      <c r="D539">
        <v>27.542719424205014</v>
      </c>
      <c r="E539">
        <v>481.34649617418449</v>
      </c>
      <c r="F539">
        <v>4764.7173855197707</v>
      </c>
      <c r="G539">
        <v>13385.890153269922</v>
      </c>
      <c r="H539">
        <v>75828.987491589389</v>
      </c>
      <c r="I539">
        <v>388451.71228347125</v>
      </c>
      <c r="J539">
        <v>7304352.8944112891</v>
      </c>
      <c r="K539" s="68">
        <v>7806631.8771728519</v>
      </c>
    </row>
    <row r="540" spans="1:11" x14ac:dyDescent="0.35">
      <c r="A540">
        <v>540</v>
      </c>
      <c r="B540">
        <v>1.9051333033978944E-4</v>
      </c>
      <c r="C540">
        <v>2.9673056764035426</v>
      </c>
      <c r="D540">
        <v>29.941937244622245</v>
      </c>
      <c r="E540">
        <v>490.19242078659227</v>
      </c>
      <c r="F540">
        <v>4796.8248265019092</v>
      </c>
      <c r="G540">
        <v>13451.254800297256</v>
      </c>
      <c r="H540">
        <v>75918.600741305316</v>
      </c>
      <c r="I540">
        <v>388837.26065672579</v>
      </c>
      <c r="J540">
        <v>7305646.588874666</v>
      </c>
      <c r="K540" s="68">
        <v>7806939.6751303412</v>
      </c>
    </row>
    <row r="541" spans="1:11" x14ac:dyDescent="0.35">
      <c r="A541">
        <v>541</v>
      </c>
      <c r="B541">
        <v>1.9214917878240497E-4</v>
      </c>
      <c r="C541">
        <v>3.2212377570714925</v>
      </c>
      <c r="D541">
        <v>32.251108133363608</v>
      </c>
      <c r="E541">
        <v>491.58330975348235</v>
      </c>
      <c r="F541">
        <v>4884.94012713541</v>
      </c>
      <c r="G541">
        <v>13500.590585850648</v>
      </c>
      <c r="H541">
        <v>76061.364842920841</v>
      </c>
      <c r="I541">
        <v>389337.3368864212</v>
      </c>
      <c r="J541">
        <v>7308689.1664298903</v>
      </c>
      <c r="K541" s="68">
        <v>7808360.0098395776</v>
      </c>
    </row>
    <row r="542" spans="1:11" x14ac:dyDescent="0.35">
      <c r="A542">
        <v>542</v>
      </c>
      <c r="B542">
        <v>1.9333001022148405E-4</v>
      </c>
      <c r="C542">
        <v>3.2231851535259204</v>
      </c>
      <c r="D542">
        <v>32.824297120405866</v>
      </c>
      <c r="E542">
        <v>491.82681236206139</v>
      </c>
      <c r="F542">
        <v>4936.4047626487536</v>
      </c>
      <c r="G542">
        <v>13691.112076263487</v>
      </c>
      <c r="H542">
        <v>76100.73336938901</v>
      </c>
      <c r="I542">
        <v>389586.0944904369</v>
      </c>
      <c r="J542">
        <v>7309461.0548454216</v>
      </c>
      <c r="K542" s="68">
        <v>7813217.2771397177</v>
      </c>
    </row>
    <row r="543" spans="1:11" x14ac:dyDescent="0.35">
      <c r="A543">
        <v>543</v>
      </c>
      <c r="B543">
        <v>2.1282107365943253E-4</v>
      </c>
      <c r="C543">
        <v>3.3632303655426701</v>
      </c>
      <c r="D543">
        <v>36.261501687128685</v>
      </c>
      <c r="E543">
        <v>495.23778048724944</v>
      </c>
      <c r="F543">
        <v>5089.014434152079</v>
      </c>
      <c r="G543">
        <v>13726.751119938961</v>
      </c>
      <c r="H543">
        <v>76237.67848845254</v>
      </c>
      <c r="I543">
        <v>389616.44972406299</v>
      </c>
      <c r="J543">
        <v>7312895.8363794573</v>
      </c>
      <c r="K543" s="68">
        <v>7815537.3656892916</v>
      </c>
    </row>
    <row r="544" spans="1:11" x14ac:dyDescent="0.35">
      <c r="A544">
        <v>544</v>
      </c>
      <c r="B544">
        <v>2.1897347491808106E-4</v>
      </c>
      <c r="C544">
        <v>3.4793194730087218</v>
      </c>
      <c r="D544">
        <v>38.117193256236469</v>
      </c>
      <c r="E544">
        <v>497.8332392135319</v>
      </c>
      <c r="F544">
        <v>5119.0692884454566</v>
      </c>
      <c r="G544">
        <v>13901.684599307609</v>
      </c>
      <c r="H544">
        <v>76246.627747413382</v>
      </c>
      <c r="I544">
        <v>389795.96699230128</v>
      </c>
      <c r="J544">
        <v>7315236.7850054177</v>
      </c>
      <c r="K544" s="68">
        <v>7821010.7935873456</v>
      </c>
    </row>
    <row r="545" spans="1:11" x14ac:dyDescent="0.35">
      <c r="A545">
        <v>545</v>
      </c>
      <c r="B545">
        <v>2.4071812060520541E-4</v>
      </c>
      <c r="C545">
        <v>3.7448812992886489</v>
      </c>
      <c r="D545">
        <v>38.21501717210063</v>
      </c>
      <c r="E545">
        <v>501.81431137186246</v>
      </c>
      <c r="F545">
        <v>5174.5145835058574</v>
      </c>
      <c r="G545">
        <v>13976.026202644727</v>
      </c>
      <c r="H545">
        <v>76657.6688179169</v>
      </c>
      <c r="I545">
        <v>390043.89238244615</v>
      </c>
      <c r="J545">
        <v>7316010.3060086109</v>
      </c>
      <c r="K545" s="68">
        <v>7822992.2836429384</v>
      </c>
    </row>
    <row r="546" spans="1:11" x14ac:dyDescent="0.35">
      <c r="A546">
        <v>546</v>
      </c>
      <c r="B546">
        <v>2.5727337277021783E-4</v>
      </c>
      <c r="C546">
        <v>4.0553371542720447</v>
      </c>
      <c r="D546">
        <v>38.236951011618693</v>
      </c>
      <c r="E546">
        <v>507.26585337290135</v>
      </c>
      <c r="F546">
        <v>5174.6252812039293</v>
      </c>
      <c r="G546">
        <v>14054.304386957654</v>
      </c>
      <c r="H546">
        <v>76669.820459038354</v>
      </c>
      <c r="I546">
        <v>390083.50943135755</v>
      </c>
      <c r="J546">
        <v>7319677.4066580487</v>
      </c>
      <c r="K546" s="68">
        <v>7823440.4011732712</v>
      </c>
    </row>
    <row r="547" spans="1:11" x14ac:dyDescent="0.35">
      <c r="A547">
        <v>547</v>
      </c>
      <c r="B547">
        <v>2.6971795603968572E-4</v>
      </c>
      <c r="C547">
        <v>4.1921429082624631</v>
      </c>
      <c r="D547">
        <v>39.050249692206627</v>
      </c>
      <c r="E547">
        <v>542.51399154298599</v>
      </c>
      <c r="F547">
        <v>5177.1695963307666</v>
      </c>
      <c r="G547">
        <v>14077.060736948151</v>
      </c>
      <c r="H547">
        <v>76738.486576780531</v>
      </c>
      <c r="I547">
        <v>390517.03029443783</v>
      </c>
      <c r="J547">
        <v>7319776.0592066795</v>
      </c>
      <c r="K547" s="68">
        <v>7824572.7672919817</v>
      </c>
    </row>
    <row r="548" spans="1:11" x14ac:dyDescent="0.35">
      <c r="A548">
        <v>548</v>
      </c>
      <c r="B548">
        <v>4.7487284727098893E-4</v>
      </c>
      <c r="C548">
        <v>4.4185848089058002</v>
      </c>
      <c r="D548">
        <v>40.958173513049459</v>
      </c>
      <c r="E548">
        <v>556.10961438689367</v>
      </c>
      <c r="F548">
        <v>5224.9132265306671</v>
      </c>
      <c r="G548">
        <v>14267.858538810793</v>
      </c>
      <c r="H548">
        <v>76751.657692246052</v>
      </c>
      <c r="I548">
        <v>390688.29825948557</v>
      </c>
      <c r="J548">
        <v>7322425.0661074286</v>
      </c>
      <c r="K548" s="68">
        <v>7829596.5068718763</v>
      </c>
    </row>
    <row r="549" spans="1:11" x14ac:dyDescent="0.35">
      <c r="A549">
        <v>549</v>
      </c>
      <c r="B549">
        <v>5.1504477712484514E-4</v>
      </c>
      <c r="C549">
        <v>4.5342133731606742</v>
      </c>
      <c r="D549">
        <v>47.306298240012438</v>
      </c>
      <c r="E549">
        <v>560.74564569026143</v>
      </c>
      <c r="F549">
        <v>5273.9876805933691</v>
      </c>
      <c r="G549">
        <v>14293.32198181589</v>
      </c>
      <c r="H549">
        <v>76837.930057756268</v>
      </c>
      <c r="I549">
        <v>390932.63385894877</v>
      </c>
      <c r="J549">
        <v>7324907.0981476782</v>
      </c>
      <c r="K549" s="68">
        <v>7831325.802634255</v>
      </c>
    </row>
    <row r="550" spans="1:11" x14ac:dyDescent="0.35">
      <c r="A550">
        <v>550</v>
      </c>
      <c r="B550">
        <v>5.3466463034078512E-4</v>
      </c>
      <c r="C550">
        <v>4.9790542010764041</v>
      </c>
      <c r="D550">
        <v>48.860837209526849</v>
      </c>
      <c r="E550">
        <v>596.83340865772277</v>
      </c>
      <c r="F550">
        <v>5299.2804574866341</v>
      </c>
      <c r="G550">
        <v>14296.329222195192</v>
      </c>
      <c r="H550">
        <v>76864.907848016883</v>
      </c>
      <c r="I550">
        <v>390964.38280951331</v>
      </c>
      <c r="J550">
        <v>7325170.0965579823</v>
      </c>
      <c r="K550" s="68">
        <v>7833590.4168425361</v>
      </c>
    </row>
    <row r="551" spans="1:11" x14ac:dyDescent="0.35">
      <c r="A551">
        <v>551</v>
      </c>
      <c r="B551">
        <v>5.8649088320084097E-4</v>
      </c>
      <c r="C551">
        <v>5.0530988151036036</v>
      </c>
      <c r="D551">
        <v>52.036831920622241</v>
      </c>
      <c r="E551">
        <v>623.50092189148336</v>
      </c>
      <c r="F551">
        <v>5318.3419264547092</v>
      </c>
      <c r="G551">
        <v>14331.933115655838</v>
      </c>
      <c r="H551">
        <v>77098.308968757774</v>
      </c>
      <c r="I551">
        <v>391412.94451212615</v>
      </c>
      <c r="J551">
        <v>7325402.581970688</v>
      </c>
      <c r="K551" s="68">
        <v>7835821.275416824</v>
      </c>
    </row>
    <row r="552" spans="1:11" x14ac:dyDescent="0.35">
      <c r="A552">
        <v>552</v>
      </c>
      <c r="B552">
        <v>8.7988078701459064E-4</v>
      </c>
      <c r="C552">
        <v>5.2694084496355806</v>
      </c>
      <c r="D552">
        <v>55.918073291412156</v>
      </c>
      <c r="E552">
        <v>640.19813694299853</v>
      </c>
      <c r="F552">
        <v>5323.2365995566061</v>
      </c>
      <c r="G552">
        <v>14350.666544252246</v>
      </c>
      <c r="H552">
        <v>77240.835311740564</v>
      </c>
      <c r="I552">
        <v>391532.81806759507</v>
      </c>
      <c r="J552">
        <v>7328717.2240956128</v>
      </c>
      <c r="K552" s="68">
        <v>7837844.308747638</v>
      </c>
    </row>
    <row r="553" spans="1:11" x14ac:dyDescent="0.35">
      <c r="A553">
        <v>553</v>
      </c>
      <c r="B553">
        <v>1.2840132564156627E-3</v>
      </c>
      <c r="C553">
        <v>5.3099827086580058</v>
      </c>
      <c r="D553">
        <v>61.71117138563919</v>
      </c>
      <c r="E553">
        <v>655.82038837324058</v>
      </c>
      <c r="F553">
        <v>5325.3605954866607</v>
      </c>
      <c r="G553">
        <v>14406.200781726831</v>
      </c>
      <c r="H553">
        <v>77269.615047349711</v>
      </c>
      <c r="I553">
        <v>392167.43526012555</v>
      </c>
      <c r="J553">
        <v>7329315.5610935865</v>
      </c>
      <c r="K553" s="68">
        <v>7840002.0540942885</v>
      </c>
    </row>
    <row r="554" spans="1:11" x14ac:dyDescent="0.35">
      <c r="A554">
        <v>554</v>
      </c>
      <c r="B554">
        <v>1.3868415857057508E-3</v>
      </c>
      <c r="C554">
        <v>5.8792991639066221</v>
      </c>
      <c r="D554">
        <v>61.985361385207916</v>
      </c>
      <c r="E554">
        <v>657.74332080235502</v>
      </c>
      <c r="F554">
        <v>5325.5094499023699</v>
      </c>
      <c r="G554">
        <v>14424.034982247207</v>
      </c>
      <c r="H554">
        <v>77651.952546694985</v>
      </c>
      <c r="I554">
        <v>392212.16795292229</v>
      </c>
      <c r="J554">
        <v>7329333.8123847162</v>
      </c>
      <c r="K554" s="68">
        <v>7840992.2418213421</v>
      </c>
    </row>
    <row r="555" spans="1:11" x14ac:dyDescent="0.35">
      <c r="A555">
        <v>555</v>
      </c>
      <c r="B555">
        <v>2.2374367717499953E-3</v>
      </c>
      <c r="C555">
        <v>6.3885991186140512</v>
      </c>
      <c r="D555">
        <v>73.002612277452499</v>
      </c>
      <c r="E555">
        <v>691.14289522580907</v>
      </c>
      <c r="F555">
        <v>5348.9520414376966</v>
      </c>
      <c r="G555">
        <v>14590.485323919567</v>
      </c>
      <c r="H555">
        <v>78068.860211752573</v>
      </c>
      <c r="I555">
        <v>392236.77629143762</v>
      </c>
      <c r="J555">
        <v>7329859.2683267295</v>
      </c>
      <c r="K555" s="68">
        <v>7842269.7032139516</v>
      </c>
    </row>
    <row r="556" spans="1:11" x14ac:dyDescent="0.35">
      <c r="A556">
        <v>556</v>
      </c>
      <c r="B556">
        <v>3.1684535894014047E-3</v>
      </c>
      <c r="C556">
        <v>6.4797954679374641</v>
      </c>
      <c r="D556">
        <v>77.802729677421539</v>
      </c>
      <c r="E556">
        <v>707.43582714401032</v>
      </c>
      <c r="F556">
        <v>5368.2656626022927</v>
      </c>
      <c r="G556">
        <v>14592.433316401115</v>
      </c>
      <c r="H556">
        <v>78078.335362452286</v>
      </c>
      <c r="I556">
        <v>392700.01125896961</v>
      </c>
      <c r="J556">
        <v>7330158.8738994934</v>
      </c>
      <c r="K556" s="68">
        <v>7842311.8565613711</v>
      </c>
    </row>
    <row r="557" spans="1:11" x14ac:dyDescent="0.35">
      <c r="A557">
        <v>557</v>
      </c>
      <c r="B557">
        <v>3.216069880354896E-3</v>
      </c>
      <c r="C557">
        <v>7.0695015482950625</v>
      </c>
      <c r="D557">
        <v>83.125810745748822</v>
      </c>
      <c r="E557">
        <v>714.48676263328503</v>
      </c>
      <c r="F557">
        <v>5435.9143622693855</v>
      </c>
      <c r="G557">
        <v>14785.884476214391</v>
      </c>
      <c r="H557">
        <v>78209.41383273658</v>
      </c>
      <c r="I557">
        <v>392958.15972380253</v>
      </c>
      <c r="J557">
        <v>7330928.7181385737</v>
      </c>
      <c r="K557" s="68">
        <v>7842992.7188855018</v>
      </c>
    </row>
    <row r="558" spans="1:11" x14ac:dyDescent="0.35">
      <c r="A558">
        <v>558</v>
      </c>
      <c r="B558">
        <v>4.266916847102474E-3</v>
      </c>
      <c r="C558">
        <v>7.1093091818032255</v>
      </c>
      <c r="D558">
        <v>97.006463892259305</v>
      </c>
      <c r="E558">
        <v>721.60694573102592</v>
      </c>
      <c r="F558">
        <v>5454.736732334386</v>
      </c>
      <c r="G558">
        <v>14905.37453654272</v>
      </c>
      <c r="H558">
        <v>78347.652194981521</v>
      </c>
      <c r="I558">
        <v>393449.4910221711</v>
      </c>
      <c r="J558">
        <v>7334269.2326227492</v>
      </c>
      <c r="K558" s="68">
        <v>7843655.4319016589</v>
      </c>
    </row>
    <row r="559" spans="1:11" x14ac:dyDescent="0.35">
      <c r="A559">
        <v>559</v>
      </c>
      <c r="B559">
        <v>4.4357007003601422E-3</v>
      </c>
      <c r="C559">
        <v>7.3052282517838361</v>
      </c>
      <c r="D559">
        <v>128.47825888835558</v>
      </c>
      <c r="E559">
        <v>737.52708199088102</v>
      </c>
      <c r="F559">
        <v>5474.9665757068478</v>
      </c>
      <c r="G559">
        <v>14965.500145482709</v>
      </c>
      <c r="H559">
        <v>78430.029141939624</v>
      </c>
      <c r="I559">
        <v>393623.23770987021</v>
      </c>
      <c r="J559">
        <v>7336392.8354557762</v>
      </c>
      <c r="K559" s="68">
        <v>7846977.0718014259</v>
      </c>
    </row>
    <row r="560" spans="1:11" x14ac:dyDescent="0.35">
      <c r="A560">
        <v>560</v>
      </c>
      <c r="B560">
        <v>4.9332416399723664E-3</v>
      </c>
      <c r="C560">
        <v>7.5293551907590759</v>
      </c>
      <c r="D560">
        <v>132.91696221999433</v>
      </c>
      <c r="E560">
        <v>748.07402601039007</v>
      </c>
      <c r="F560">
        <v>5482.0959970908834</v>
      </c>
      <c r="G560">
        <v>14966.974919265838</v>
      </c>
      <c r="H560">
        <v>78441.652781152123</v>
      </c>
      <c r="I560">
        <v>393752.62643614342</v>
      </c>
      <c r="J560">
        <v>7336731.9686380671</v>
      </c>
      <c r="K560" s="68">
        <v>7849917.4055347973</v>
      </c>
    </row>
    <row r="561" spans="1:11" x14ac:dyDescent="0.35">
      <c r="A561">
        <v>561</v>
      </c>
      <c r="B561">
        <v>5.0472946597632526E-3</v>
      </c>
      <c r="C561">
        <v>7.8246561925850138</v>
      </c>
      <c r="D561">
        <v>136.19757263961637</v>
      </c>
      <c r="E561">
        <v>839.33247482338186</v>
      </c>
      <c r="F561">
        <v>5572.9470366487676</v>
      </c>
      <c r="G561">
        <v>14967.927169006225</v>
      </c>
      <c r="H561">
        <v>78576.85375111863</v>
      </c>
      <c r="I561">
        <v>393781.33032996405</v>
      </c>
      <c r="J561">
        <v>7338414.5856816741</v>
      </c>
      <c r="K561" s="68">
        <v>7850632.5478366269</v>
      </c>
    </row>
    <row r="562" spans="1:11" x14ac:dyDescent="0.35">
      <c r="A562">
        <v>562</v>
      </c>
      <c r="B562">
        <v>5.0816625305522747E-3</v>
      </c>
      <c r="C562">
        <v>8.9243904929423916</v>
      </c>
      <c r="D562">
        <v>139.02000778340894</v>
      </c>
      <c r="E562">
        <v>850.23169277127965</v>
      </c>
      <c r="F562">
        <v>5630.4913264043398</v>
      </c>
      <c r="G562">
        <v>15003.641117381767</v>
      </c>
      <c r="H562">
        <v>78833.726686601804</v>
      </c>
      <c r="I562">
        <v>394326.89526053838</v>
      </c>
      <c r="J562">
        <v>7338770.6886868617</v>
      </c>
      <c r="K562" s="68">
        <v>7851813.0220710766</v>
      </c>
    </row>
    <row r="563" spans="1:11" x14ac:dyDescent="0.35">
      <c r="A563">
        <v>563</v>
      </c>
      <c r="B563">
        <v>6.0238820063415717E-3</v>
      </c>
      <c r="C563">
        <v>8.9384075923762349</v>
      </c>
      <c r="D563">
        <v>150.24239781949339</v>
      </c>
      <c r="E563">
        <v>856.0527223323412</v>
      </c>
      <c r="F563">
        <v>5762.5844242066687</v>
      </c>
      <c r="G563">
        <v>15039.143238847666</v>
      </c>
      <c r="H563">
        <v>79092.232633180698</v>
      </c>
      <c r="I563">
        <v>394474.2658348328</v>
      </c>
      <c r="J563">
        <v>7339424.4664206142</v>
      </c>
      <c r="K563" s="68">
        <v>7852244.009881923</v>
      </c>
    </row>
    <row r="564" spans="1:11" x14ac:dyDescent="0.35">
      <c r="A564">
        <v>564</v>
      </c>
      <c r="B564">
        <v>7.0287514555463955E-3</v>
      </c>
      <c r="C564">
        <v>9.1585122731343915</v>
      </c>
      <c r="D564">
        <v>156.59466964153279</v>
      </c>
      <c r="E564">
        <v>856.48330832654904</v>
      </c>
      <c r="F564">
        <v>5768.1315939905799</v>
      </c>
      <c r="G564">
        <v>15210.524848985719</v>
      </c>
      <c r="H564">
        <v>79166.723009725218</v>
      </c>
      <c r="I564">
        <v>394583.69048902323</v>
      </c>
      <c r="J564">
        <v>7339906.2133171679</v>
      </c>
      <c r="K564" s="68">
        <v>7855424.9170329878</v>
      </c>
    </row>
    <row r="565" spans="1:11" x14ac:dyDescent="0.35">
      <c r="A565">
        <v>565</v>
      </c>
      <c r="B565">
        <v>9.944480172041751E-3</v>
      </c>
      <c r="C565">
        <v>9.2767326684083127</v>
      </c>
      <c r="D565">
        <v>167.19126704856339</v>
      </c>
      <c r="E565">
        <v>892.88219270842455</v>
      </c>
      <c r="F565">
        <v>5816.9350376573775</v>
      </c>
      <c r="G565">
        <v>15472.436788837131</v>
      </c>
      <c r="H565">
        <v>79248.443338830766</v>
      </c>
      <c r="I565">
        <v>394822.2077613498</v>
      </c>
      <c r="J565">
        <v>7342211.1852070726</v>
      </c>
      <c r="K565" s="68">
        <v>7857035.2174444683</v>
      </c>
    </row>
    <row r="566" spans="1:11" x14ac:dyDescent="0.35">
      <c r="A566">
        <v>566</v>
      </c>
      <c r="B566">
        <v>1.0865847609976647E-2</v>
      </c>
      <c r="C566">
        <v>9.5210340489123642</v>
      </c>
      <c r="D566">
        <v>182.9270431647808</v>
      </c>
      <c r="E566">
        <v>942.03849043007267</v>
      </c>
      <c r="F566">
        <v>5827.9441249272377</v>
      </c>
      <c r="G566">
        <v>15494.592202196895</v>
      </c>
      <c r="H566">
        <v>79504.009890364207</v>
      </c>
      <c r="I566">
        <v>394941.41744318488</v>
      </c>
      <c r="J566">
        <v>7342831.9103667559</v>
      </c>
      <c r="K566" s="68">
        <v>7862760.1291845329</v>
      </c>
    </row>
    <row r="567" spans="1:11" x14ac:dyDescent="0.35">
      <c r="A567">
        <v>567</v>
      </c>
      <c r="B567">
        <v>1.1169697849781939E-2</v>
      </c>
      <c r="C567">
        <v>10.00855627061946</v>
      </c>
      <c r="D567">
        <v>186.3377604943505</v>
      </c>
      <c r="E567">
        <v>1053.7120043198029</v>
      </c>
      <c r="F567">
        <v>5827.9496196142854</v>
      </c>
      <c r="G567">
        <v>15589.335414584933</v>
      </c>
      <c r="H567">
        <v>79590.48929687278</v>
      </c>
      <c r="I567">
        <v>395375.38719285675</v>
      </c>
      <c r="J567">
        <v>7344900.4369962001</v>
      </c>
      <c r="K567" s="68">
        <v>7862981.4528123345</v>
      </c>
    </row>
    <row r="568" spans="1:11" x14ac:dyDescent="0.35">
      <c r="A568">
        <v>568</v>
      </c>
      <c r="B568">
        <v>1.1241133374094081E-2</v>
      </c>
      <c r="C568">
        <v>10.536462197438732</v>
      </c>
      <c r="D568">
        <v>186.42958768338184</v>
      </c>
      <c r="E568">
        <v>1088.3662367184279</v>
      </c>
      <c r="F568">
        <v>5906.2357102510996</v>
      </c>
      <c r="G568">
        <v>15689.296478180942</v>
      </c>
      <c r="H568">
        <v>79672.277637962427</v>
      </c>
      <c r="I568">
        <v>395703.7427415686</v>
      </c>
      <c r="J568">
        <v>7345334.893772956</v>
      </c>
      <c r="K568" s="68">
        <v>7863435.414008569</v>
      </c>
    </row>
    <row r="569" spans="1:11" x14ac:dyDescent="0.35">
      <c r="A569">
        <v>569</v>
      </c>
      <c r="B569">
        <v>1.287872378864729E-2</v>
      </c>
      <c r="C569">
        <v>12.68238974774502</v>
      </c>
      <c r="D569">
        <v>197.68082950083274</v>
      </c>
      <c r="E569">
        <v>1138.9633161465263</v>
      </c>
      <c r="F569">
        <v>5991.282694240922</v>
      </c>
      <c r="G569">
        <v>15698.899703033623</v>
      </c>
      <c r="H569">
        <v>80104.840787773719</v>
      </c>
      <c r="I569">
        <v>396533.13650376804</v>
      </c>
      <c r="J569">
        <v>7345675.878018097</v>
      </c>
      <c r="K569" s="68">
        <v>7863688.2381077427</v>
      </c>
    </row>
    <row r="570" spans="1:11" x14ac:dyDescent="0.35">
      <c r="A570">
        <v>570</v>
      </c>
      <c r="B570">
        <v>1.3209579701755623E-2</v>
      </c>
      <c r="C570">
        <v>13.153756181704345</v>
      </c>
      <c r="D570">
        <v>199.01827615700327</v>
      </c>
      <c r="E570">
        <v>1139.9374824434608</v>
      </c>
      <c r="F570">
        <v>6005.262102583536</v>
      </c>
      <c r="G570">
        <v>15732.06399185989</v>
      </c>
      <c r="H570">
        <v>80209.531986850459</v>
      </c>
      <c r="I570">
        <v>397361.41097295115</v>
      </c>
      <c r="J570">
        <v>7348879.105019643</v>
      </c>
      <c r="K570" s="68">
        <v>7864977.2104177279</v>
      </c>
    </row>
    <row r="571" spans="1:11" x14ac:dyDescent="0.35">
      <c r="A571">
        <v>571</v>
      </c>
      <c r="B571">
        <v>1.397719103221538E-2</v>
      </c>
      <c r="C571">
        <v>14.39015763086584</v>
      </c>
      <c r="D571">
        <v>200.59435522237123</v>
      </c>
      <c r="E571">
        <v>1175.2339028958668</v>
      </c>
      <c r="F571">
        <v>6061.0939088726391</v>
      </c>
      <c r="G571">
        <v>15739.753460062133</v>
      </c>
      <c r="H571">
        <v>80388.040073022115</v>
      </c>
      <c r="I571">
        <v>397375.8205214729</v>
      </c>
      <c r="J571">
        <v>7351557.0514082136</v>
      </c>
      <c r="K571" s="68">
        <v>7865828.9009055095</v>
      </c>
    </row>
    <row r="572" spans="1:11" x14ac:dyDescent="0.35">
      <c r="A572">
        <v>572</v>
      </c>
      <c r="B572">
        <v>1.6734866283982457E-2</v>
      </c>
      <c r="C572">
        <v>14.491272372224989</v>
      </c>
      <c r="D572">
        <v>206.9949698442021</v>
      </c>
      <c r="E572">
        <v>1196.9123854784186</v>
      </c>
      <c r="F572">
        <v>6121.8443389422055</v>
      </c>
      <c r="G572">
        <v>15740.264729751956</v>
      </c>
      <c r="H572">
        <v>80471.974794148526</v>
      </c>
      <c r="I572">
        <v>397588.66703566886</v>
      </c>
      <c r="J572">
        <v>7351685.9475541227</v>
      </c>
      <c r="K572" s="68">
        <v>7865926.4595317775</v>
      </c>
    </row>
    <row r="573" spans="1:11" x14ac:dyDescent="0.35">
      <c r="A573">
        <v>573</v>
      </c>
      <c r="B573">
        <v>1.7043741087906451E-2</v>
      </c>
      <c r="C573">
        <v>17.895547244204284</v>
      </c>
      <c r="D573">
        <v>227.40934093457594</v>
      </c>
      <c r="E573">
        <v>1233.127737447775</v>
      </c>
      <c r="F573">
        <v>6220.7737048472109</v>
      </c>
      <c r="G573">
        <v>15748.338947328093</v>
      </c>
      <c r="H573">
        <v>80582.250651776689</v>
      </c>
      <c r="I573">
        <v>397756.1875502902</v>
      </c>
      <c r="J573">
        <v>7351931.7814534353</v>
      </c>
      <c r="K573" s="68">
        <v>7866598.8536985973</v>
      </c>
    </row>
    <row r="574" spans="1:11" x14ac:dyDescent="0.35">
      <c r="A574">
        <v>574</v>
      </c>
      <c r="B574">
        <v>1.7664539899564329E-2</v>
      </c>
      <c r="C574">
        <v>22.630718652739628</v>
      </c>
      <c r="D574">
        <v>229.40411277037558</v>
      </c>
      <c r="E574">
        <v>1234.5585754367551</v>
      </c>
      <c r="F574">
        <v>6403.9602575655326</v>
      </c>
      <c r="G574">
        <v>15964.432437494588</v>
      </c>
      <c r="H574">
        <v>80710.078954556797</v>
      </c>
      <c r="I574">
        <v>398336.95747346728</v>
      </c>
      <c r="J574">
        <v>7353230.398395611</v>
      </c>
      <c r="K574" s="68">
        <v>7869055.7044690596</v>
      </c>
    </row>
    <row r="575" spans="1:11" x14ac:dyDescent="0.35">
      <c r="A575">
        <v>575</v>
      </c>
      <c r="B575">
        <v>1.7668784091571119E-2</v>
      </c>
      <c r="C575">
        <v>24.308116135147994</v>
      </c>
      <c r="D575">
        <v>243.61906481361399</v>
      </c>
      <c r="E575">
        <v>1238.4171539626345</v>
      </c>
      <c r="F575">
        <v>6436.8349290748529</v>
      </c>
      <c r="G575">
        <v>16137.797314717876</v>
      </c>
      <c r="H575">
        <v>80729.102860376515</v>
      </c>
      <c r="I575">
        <v>398341.03989789198</v>
      </c>
      <c r="J575">
        <v>7353474.4320536312</v>
      </c>
      <c r="K575" s="68">
        <v>7869322.5465391213</v>
      </c>
    </row>
    <row r="576" spans="1:11" x14ac:dyDescent="0.35">
      <c r="A576">
        <v>576</v>
      </c>
      <c r="B576">
        <v>2.1505087605490213E-2</v>
      </c>
      <c r="C576">
        <v>25.260013446683352</v>
      </c>
      <c r="D576">
        <v>260.24624174998422</v>
      </c>
      <c r="E576">
        <v>1257.7332557626055</v>
      </c>
      <c r="F576">
        <v>6571.745926560975</v>
      </c>
      <c r="G576">
        <v>16200.588276346769</v>
      </c>
      <c r="H576">
        <v>80824.484057808382</v>
      </c>
      <c r="I576">
        <v>398426.34192281414</v>
      </c>
      <c r="J576">
        <v>7357460.9635947729</v>
      </c>
      <c r="K576" s="68">
        <v>7870648.418939013</v>
      </c>
    </row>
    <row r="577" spans="1:11" x14ac:dyDescent="0.35">
      <c r="A577">
        <v>577</v>
      </c>
      <c r="B577">
        <v>2.192687641655245E-2</v>
      </c>
      <c r="C577">
        <v>25.788229640072469</v>
      </c>
      <c r="D577">
        <v>265.98234563038477</v>
      </c>
      <c r="E577">
        <v>1276.0284776658486</v>
      </c>
      <c r="F577">
        <v>6643.4486941770165</v>
      </c>
      <c r="G577">
        <v>16215.550309297971</v>
      </c>
      <c r="H577">
        <v>80963.076368262948</v>
      </c>
      <c r="I577">
        <v>398522.66791099304</v>
      </c>
      <c r="J577">
        <v>7358087.7196433004</v>
      </c>
      <c r="K577" s="68">
        <v>7870659.5592895905</v>
      </c>
    </row>
    <row r="578" spans="1:11" x14ac:dyDescent="0.35">
      <c r="A578">
        <v>578</v>
      </c>
      <c r="B578">
        <v>2.2985862882549325E-2</v>
      </c>
      <c r="C578">
        <v>25.945723055727974</v>
      </c>
      <c r="D578">
        <v>270.16377993910635</v>
      </c>
      <c r="E578">
        <v>1286.2116385846118</v>
      </c>
      <c r="F578">
        <v>6682.2405604574078</v>
      </c>
      <c r="G578">
        <v>16270.030774338149</v>
      </c>
      <c r="H578">
        <v>81653.57338513271</v>
      </c>
      <c r="I578">
        <v>398848.21020545746</v>
      </c>
      <c r="J578">
        <v>7361595.3814406171</v>
      </c>
      <c r="K578" s="68">
        <v>7871280.345441903</v>
      </c>
    </row>
    <row r="579" spans="1:11" x14ac:dyDescent="0.35">
      <c r="A579">
        <v>579</v>
      </c>
      <c r="B579">
        <v>2.6903984088061324E-2</v>
      </c>
      <c r="C579">
        <v>27.009526848230706</v>
      </c>
      <c r="D579">
        <v>289.12494882607439</v>
      </c>
      <c r="E579">
        <v>1287.6769270239915</v>
      </c>
      <c r="F579">
        <v>6779.0246168835265</v>
      </c>
      <c r="G579">
        <v>16286.855694957861</v>
      </c>
      <c r="H579">
        <v>81746.032113877372</v>
      </c>
      <c r="I579">
        <v>398913.17847487167</v>
      </c>
      <c r="J579">
        <v>7361745.4577552117</v>
      </c>
      <c r="K579" s="68">
        <v>7873102.3258194029</v>
      </c>
    </row>
    <row r="580" spans="1:11" x14ac:dyDescent="0.35">
      <c r="A580">
        <v>580</v>
      </c>
      <c r="B580">
        <v>2.8343963475586476E-2</v>
      </c>
      <c r="C580">
        <v>34.07802627642225</v>
      </c>
      <c r="D580">
        <v>294.72990603856198</v>
      </c>
      <c r="E580">
        <v>1313.6535101097973</v>
      </c>
      <c r="F580">
        <v>6966.5192422904274</v>
      </c>
      <c r="G580">
        <v>16290.841345686782</v>
      </c>
      <c r="H580">
        <v>81859.210015686986</v>
      </c>
      <c r="I580">
        <v>399415.57672374748</v>
      </c>
      <c r="J580">
        <v>7362109.8194529144</v>
      </c>
      <c r="K580" s="68">
        <v>7873165.8700306499</v>
      </c>
    </row>
    <row r="581" spans="1:11" x14ac:dyDescent="0.35">
      <c r="A581">
        <v>581</v>
      </c>
      <c r="B581">
        <v>3.0228683971764401E-2</v>
      </c>
      <c r="C581">
        <v>37.835163207812215</v>
      </c>
      <c r="D581">
        <v>295.62855480097403</v>
      </c>
      <c r="E581">
        <v>1329.8416079801668</v>
      </c>
      <c r="F581">
        <v>6994.2659026037927</v>
      </c>
      <c r="G581">
        <v>16529.823427014417</v>
      </c>
      <c r="H581">
        <v>82264.617192399237</v>
      </c>
      <c r="I581">
        <v>399601.22212186438</v>
      </c>
      <c r="J581">
        <v>7363311.4874685239</v>
      </c>
      <c r="K581" s="68">
        <v>7874202.1825549407</v>
      </c>
    </row>
    <row r="582" spans="1:11" x14ac:dyDescent="0.35">
      <c r="A582">
        <v>582</v>
      </c>
      <c r="B582">
        <v>4.0346052418130447E-2</v>
      </c>
      <c r="C582">
        <v>38.566276801553641</v>
      </c>
      <c r="D582">
        <v>298.43308840997906</v>
      </c>
      <c r="E582">
        <v>1398.1373133839838</v>
      </c>
      <c r="F582">
        <v>7000.9592479191624</v>
      </c>
      <c r="G582">
        <v>16615.964806062435</v>
      </c>
      <c r="H582">
        <v>82304.812024826271</v>
      </c>
      <c r="I582">
        <v>399910.30290060048</v>
      </c>
      <c r="J582">
        <v>7364106.7232155865</v>
      </c>
      <c r="K582" s="68">
        <v>7875912.0243601138</v>
      </c>
    </row>
    <row r="583" spans="1:11" x14ac:dyDescent="0.35">
      <c r="A583">
        <v>583</v>
      </c>
      <c r="B583">
        <v>4.4983466911451643E-2</v>
      </c>
      <c r="C583">
        <v>45.552137956616079</v>
      </c>
      <c r="D583">
        <v>322.89008444308803</v>
      </c>
      <c r="E583">
        <v>1439.9623675967478</v>
      </c>
      <c r="F583">
        <v>7017.9787835231991</v>
      </c>
      <c r="G583">
        <v>16637.49909325079</v>
      </c>
      <c r="H583">
        <v>82434.439245017056</v>
      </c>
      <c r="I583">
        <v>400119.99768895382</v>
      </c>
      <c r="J583">
        <v>7364294.1714221807</v>
      </c>
      <c r="K583" s="68">
        <v>7878136.275536607</v>
      </c>
    </row>
    <row r="584" spans="1:11" x14ac:dyDescent="0.35">
      <c r="A584">
        <v>584</v>
      </c>
      <c r="B584">
        <v>5.0613175270581769E-2</v>
      </c>
      <c r="C584">
        <v>49.090265825611915</v>
      </c>
      <c r="D584">
        <v>332.99785182910659</v>
      </c>
      <c r="E584">
        <v>1449.1052341970119</v>
      </c>
      <c r="F584">
        <v>7086.3230426936561</v>
      </c>
      <c r="G584">
        <v>16694.828166632411</v>
      </c>
      <c r="H584">
        <v>82465.717532801835</v>
      </c>
      <c r="I584">
        <v>400523.53432452265</v>
      </c>
      <c r="J584">
        <v>7364458.6203770824</v>
      </c>
      <c r="K584" s="68">
        <v>7879010.6795440605</v>
      </c>
    </row>
    <row r="585" spans="1:11" x14ac:dyDescent="0.35">
      <c r="A585">
        <v>585</v>
      </c>
      <c r="B585">
        <v>5.2040837344031081E-2</v>
      </c>
      <c r="C585">
        <v>51.827921926045924</v>
      </c>
      <c r="D585">
        <v>364.78172360145339</v>
      </c>
      <c r="E585">
        <v>1611.8253567591407</v>
      </c>
      <c r="F585">
        <v>7271.7251414990878</v>
      </c>
      <c r="G585">
        <v>16896.023172369507</v>
      </c>
      <c r="H585">
        <v>82628.346727345866</v>
      </c>
      <c r="I585">
        <v>400735.29839005094</v>
      </c>
      <c r="J585">
        <v>7365604.3045091322</v>
      </c>
      <c r="K585" s="68">
        <v>7880008.636459738</v>
      </c>
    </row>
    <row r="586" spans="1:11" x14ac:dyDescent="0.35">
      <c r="A586">
        <v>586</v>
      </c>
      <c r="B586">
        <v>8.2413624332611388E-2</v>
      </c>
      <c r="C586">
        <v>54.698727959247215</v>
      </c>
      <c r="D586">
        <v>382.53805197476737</v>
      </c>
      <c r="E586">
        <v>1631.8734779750516</v>
      </c>
      <c r="F586">
        <v>7275.1551160885956</v>
      </c>
      <c r="G586">
        <v>16932.370415407931</v>
      </c>
      <c r="H586">
        <v>82789.491885421827</v>
      </c>
      <c r="I586">
        <v>401120.96843086754</v>
      </c>
      <c r="J586">
        <v>7368227.1990202572</v>
      </c>
      <c r="K586" s="68">
        <v>7881018.3342388151</v>
      </c>
    </row>
    <row r="587" spans="1:11" x14ac:dyDescent="0.35">
      <c r="A587">
        <v>587</v>
      </c>
      <c r="B587">
        <v>8.2774699123408485E-2</v>
      </c>
      <c r="C587">
        <v>55.381375849970269</v>
      </c>
      <c r="D587">
        <v>408.7639498004815</v>
      </c>
      <c r="E587">
        <v>1661.6290799408748</v>
      </c>
      <c r="F587">
        <v>7340.7779844943288</v>
      </c>
      <c r="G587">
        <v>16969.463245158451</v>
      </c>
      <c r="H587">
        <v>82836.380497370163</v>
      </c>
      <c r="I587">
        <v>402495.6294677651</v>
      </c>
      <c r="J587">
        <v>7368584.9850573996</v>
      </c>
      <c r="K587" s="68">
        <v>7883182.2250571316</v>
      </c>
    </row>
    <row r="588" spans="1:11" x14ac:dyDescent="0.35">
      <c r="A588">
        <v>588</v>
      </c>
      <c r="B588">
        <v>9.5146613145129469E-2</v>
      </c>
      <c r="C588">
        <v>59.729437519297313</v>
      </c>
      <c r="D588">
        <v>412.4205247776415</v>
      </c>
      <c r="E588">
        <v>1661.8722267668304</v>
      </c>
      <c r="F588">
        <v>7423.6200447437941</v>
      </c>
      <c r="G588">
        <v>17007.602670576391</v>
      </c>
      <c r="H588">
        <v>82938.561785100275</v>
      </c>
      <c r="I588">
        <v>403178.50482854346</v>
      </c>
      <c r="J588">
        <v>7372838.6860456383</v>
      </c>
      <c r="K588" s="68">
        <v>7883346.4068934936</v>
      </c>
    </row>
    <row r="589" spans="1:11" x14ac:dyDescent="0.35">
      <c r="A589">
        <v>589</v>
      </c>
      <c r="B589">
        <v>0.11211054532337364</v>
      </c>
      <c r="C589">
        <v>61.816195699117735</v>
      </c>
      <c r="D589">
        <v>413.02468373087396</v>
      </c>
      <c r="E589">
        <v>1662.5612345933587</v>
      </c>
      <c r="F589">
        <v>7491.6047974698595</v>
      </c>
      <c r="G589">
        <v>17372.71904390234</v>
      </c>
      <c r="H589">
        <v>83521.473539928556</v>
      </c>
      <c r="I589">
        <v>403316.15128728835</v>
      </c>
      <c r="J589">
        <v>7372956.1654427815</v>
      </c>
      <c r="K589" s="68">
        <v>7883701.3995674793</v>
      </c>
    </row>
    <row r="590" spans="1:11" x14ac:dyDescent="0.35">
      <c r="A590">
        <v>590</v>
      </c>
      <c r="B590">
        <v>0.11527336358390362</v>
      </c>
      <c r="C590">
        <v>68.540634178146277</v>
      </c>
      <c r="D590">
        <v>456.35530900539754</v>
      </c>
      <c r="E590">
        <v>1696.1854140902369</v>
      </c>
      <c r="F590">
        <v>7540.1943123171659</v>
      </c>
      <c r="G590">
        <v>17384.719357603775</v>
      </c>
      <c r="H590">
        <v>83554.268425308561</v>
      </c>
      <c r="I590">
        <v>403368.45013400359</v>
      </c>
      <c r="J590">
        <v>7375122.1091663754</v>
      </c>
      <c r="K590" s="68">
        <v>7887660.632256791</v>
      </c>
    </row>
    <row r="591" spans="1:11" x14ac:dyDescent="0.35">
      <c r="A591">
        <v>591</v>
      </c>
      <c r="B591">
        <v>0.13113155800675969</v>
      </c>
      <c r="C591">
        <v>69.938934650370427</v>
      </c>
      <c r="D591">
        <v>487.98277120776373</v>
      </c>
      <c r="E591">
        <v>1729.5923298976472</v>
      </c>
      <c r="F591">
        <v>7547.4860441364563</v>
      </c>
      <c r="G591">
        <v>17438.939452261497</v>
      </c>
      <c r="H591">
        <v>83620.676204332587</v>
      </c>
      <c r="I591">
        <v>403570.00704336225</v>
      </c>
      <c r="J591">
        <v>7375474.3435785333</v>
      </c>
      <c r="K591" s="68">
        <v>7889065.120366957</v>
      </c>
    </row>
    <row r="592" spans="1:11" x14ac:dyDescent="0.35">
      <c r="A592">
        <v>592</v>
      </c>
      <c r="B592">
        <v>0.13536887856725571</v>
      </c>
      <c r="C592">
        <v>73.916152761259312</v>
      </c>
      <c r="D592">
        <v>505.48279144272971</v>
      </c>
      <c r="E592">
        <v>1752.4290409391197</v>
      </c>
      <c r="F592">
        <v>7559.2142644665546</v>
      </c>
      <c r="G592">
        <v>17497.834748771686</v>
      </c>
      <c r="H592">
        <v>84090.452554779651</v>
      </c>
      <c r="I592">
        <v>403623.13411198498</v>
      </c>
      <c r="J592">
        <v>7376917.4154369598</v>
      </c>
      <c r="K592" s="68">
        <v>7891130.8991898829</v>
      </c>
    </row>
    <row r="593" spans="1:11" x14ac:dyDescent="0.35">
      <c r="A593">
        <v>593</v>
      </c>
      <c r="B593">
        <v>0.14213463103925847</v>
      </c>
      <c r="C593">
        <v>74.893217821548959</v>
      </c>
      <c r="D593">
        <v>510.27175549731714</v>
      </c>
      <c r="E593">
        <v>1755.6919563774456</v>
      </c>
      <c r="F593">
        <v>7568.1077400723698</v>
      </c>
      <c r="G593">
        <v>17538.631805758963</v>
      </c>
      <c r="H593">
        <v>84244.588446408074</v>
      </c>
      <c r="I593">
        <v>404062.45903913293</v>
      </c>
      <c r="J593">
        <v>7377435.9655729076</v>
      </c>
      <c r="K593" s="68">
        <v>7894076.5155385099</v>
      </c>
    </row>
    <row r="594" spans="1:11" x14ac:dyDescent="0.35">
      <c r="A594">
        <v>594</v>
      </c>
      <c r="B594">
        <v>0.16760772720297482</v>
      </c>
      <c r="C594">
        <v>79.390511378180022</v>
      </c>
      <c r="D594">
        <v>547.09439503709621</v>
      </c>
      <c r="E594">
        <v>1758.1522537848746</v>
      </c>
      <c r="F594">
        <v>7596.4324404819718</v>
      </c>
      <c r="G594">
        <v>17757.084040202095</v>
      </c>
      <c r="H594">
        <v>84377.670884483712</v>
      </c>
      <c r="I594">
        <v>404130.37779336656</v>
      </c>
      <c r="J594">
        <v>7378033.0855082171</v>
      </c>
      <c r="K594" s="68">
        <v>7895030.8618288208</v>
      </c>
    </row>
    <row r="595" spans="1:11" x14ac:dyDescent="0.35">
      <c r="A595">
        <v>595</v>
      </c>
      <c r="B595">
        <v>0.17358348929140047</v>
      </c>
      <c r="C595">
        <v>83.449549397656526</v>
      </c>
      <c r="D595">
        <v>557.13551742281061</v>
      </c>
      <c r="E595">
        <v>1762.9850873069408</v>
      </c>
      <c r="F595">
        <v>7601.4065154664559</v>
      </c>
      <c r="G595">
        <v>17840.009708129419</v>
      </c>
      <c r="H595">
        <v>84402.375247579272</v>
      </c>
      <c r="I595">
        <v>404610.00184595934</v>
      </c>
      <c r="J595">
        <v>7378458.413455273</v>
      </c>
      <c r="K595" s="68">
        <v>7895051.2845469322</v>
      </c>
    </row>
    <row r="596" spans="1:11" x14ac:dyDescent="0.35">
      <c r="A596">
        <v>596</v>
      </c>
      <c r="B596">
        <v>0.19482903578893881</v>
      </c>
      <c r="C596">
        <v>87.42526752198971</v>
      </c>
      <c r="D596">
        <v>558.10852124643168</v>
      </c>
      <c r="E596">
        <v>1829.5192741848962</v>
      </c>
      <c r="F596">
        <v>7654.5859722367677</v>
      </c>
      <c r="G596">
        <v>17960.752484458226</v>
      </c>
      <c r="H596">
        <v>84529.802401383364</v>
      </c>
      <c r="I596">
        <v>405542.75084124849</v>
      </c>
      <c r="J596">
        <v>7379281.4581268067</v>
      </c>
      <c r="K596" s="68">
        <v>7895336.0635887217</v>
      </c>
    </row>
    <row r="597" spans="1:11" x14ac:dyDescent="0.35">
      <c r="A597">
        <v>597</v>
      </c>
      <c r="B597">
        <v>0.23020632035908176</v>
      </c>
      <c r="C597">
        <v>110.06331851949727</v>
      </c>
      <c r="D597">
        <v>576.45141285219529</v>
      </c>
      <c r="E597">
        <v>1843.5304723743238</v>
      </c>
      <c r="F597">
        <v>7664.120662533207</v>
      </c>
      <c r="G597">
        <v>18425.567664710215</v>
      </c>
      <c r="H597">
        <v>84558.322221118244</v>
      </c>
      <c r="I597">
        <v>405838.81277058722</v>
      </c>
      <c r="J597">
        <v>7379976.3368162848</v>
      </c>
      <c r="K597" s="68">
        <v>7895518.3363676695</v>
      </c>
    </row>
    <row r="598" spans="1:11" x14ac:dyDescent="0.35">
      <c r="A598">
        <v>598</v>
      </c>
      <c r="B598">
        <v>0.35845890457079826</v>
      </c>
      <c r="C598">
        <v>122.35790210299638</v>
      </c>
      <c r="D598">
        <v>628.86394249479974</v>
      </c>
      <c r="E598">
        <v>1877.7937667481588</v>
      </c>
      <c r="F598">
        <v>7681.5045148098143</v>
      </c>
      <c r="G598">
        <v>18489.830073478272</v>
      </c>
      <c r="H598">
        <v>84757.986785184708</v>
      </c>
      <c r="I598">
        <v>406294.89331689308</v>
      </c>
      <c r="J598">
        <v>7381210.7645230787</v>
      </c>
      <c r="K598" s="68">
        <v>7895842.0185829028</v>
      </c>
    </row>
    <row r="599" spans="1:11" x14ac:dyDescent="0.35">
      <c r="A599">
        <v>599</v>
      </c>
      <c r="B599">
        <v>0.38083872149109133</v>
      </c>
      <c r="C599">
        <v>123.35138790792033</v>
      </c>
      <c r="D599">
        <v>630.21341180590025</v>
      </c>
      <c r="E599">
        <v>1878.3967752139126</v>
      </c>
      <c r="F599">
        <v>7710.4477621570686</v>
      </c>
      <c r="G599">
        <v>18513.154191272606</v>
      </c>
      <c r="H599">
        <v>84803.415659921884</v>
      </c>
      <c r="I599">
        <v>406458.01057766558</v>
      </c>
      <c r="J599">
        <v>7382249.2480992116</v>
      </c>
      <c r="K599" s="68">
        <v>7896458.1426142808</v>
      </c>
    </row>
    <row r="600" spans="1:11" x14ac:dyDescent="0.35">
      <c r="A600">
        <v>600</v>
      </c>
      <c r="B600">
        <v>0.39530347554542211</v>
      </c>
      <c r="C600">
        <v>125.91132927214392</v>
      </c>
      <c r="D600">
        <v>686.79662864509976</v>
      </c>
      <c r="E600">
        <v>1911.557924531214</v>
      </c>
      <c r="F600">
        <v>7728.6349310345086</v>
      </c>
      <c r="G600">
        <v>18526.226392108634</v>
      </c>
      <c r="H600">
        <v>84854.642070274655</v>
      </c>
      <c r="I600">
        <v>407022.83920211514</v>
      </c>
      <c r="J600">
        <v>7382471.4812666364</v>
      </c>
      <c r="K600" s="68">
        <v>7897751.4593291525</v>
      </c>
    </row>
    <row r="601" spans="1:11" x14ac:dyDescent="0.35">
      <c r="A601">
        <v>601</v>
      </c>
      <c r="B601">
        <v>0.45835288632619464</v>
      </c>
      <c r="C601">
        <v>127.29463964768456</v>
      </c>
      <c r="D601">
        <v>696.13028763387854</v>
      </c>
      <c r="E601">
        <v>1933.5556225709784</v>
      </c>
      <c r="F601">
        <v>7767.4419896229547</v>
      </c>
      <c r="G601">
        <v>18537.016420959659</v>
      </c>
      <c r="H601">
        <v>84896.021593793892</v>
      </c>
      <c r="I601">
        <v>407102.60694751266</v>
      </c>
      <c r="J601">
        <v>7387507.9510181164</v>
      </c>
      <c r="K601" s="68">
        <v>7898068.0596374702</v>
      </c>
    </row>
    <row r="602" spans="1:11" x14ac:dyDescent="0.35">
      <c r="A602">
        <v>602</v>
      </c>
      <c r="B602">
        <v>0.58357759457225922</v>
      </c>
      <c r="C602">
        <v>132.22521944270989</v>
      </c>
      <c r="D602">
        <v>704.33104956427951</v>
      </c>
      <c r="E602">
        <v>1970.5130491699128</v>
      </c>
      <c r="F602">
        <v>7963.3129986444192</v>
      </c>
      <c r="G602">
        <v>18565.513241832283</v>
      </c>
      <c r="H602">
        <v>85078.071096494721</v>
      </c>
      <c r="I602">
        <v>407538.09465906618</v>
      </c>
      <c r="J602">
        <v>7388760.7527277656</v>
      </c>
      <c r="K602" s="68">
        <v>7900167.9227048792</v>
      </c>
    </row>
    <row r="603" spans="1:11" x14ac:dyDescent="0.35">
      <c r="A603">
        <v>603</v>
      </c>
      <c r="B603">
        <v>0.58406466065534224</v>
      </c>
      <c r="C603">
        <v>147.61930055219682</v>
      </c>
      <c r="D603">
        <v>718.03850920860805</v>
      </c>
      <c r="E603">
        <v>2001.9997506300615</v>
      </c>
      <c r="F603">
        <v>7965.5857723028112</v>
      </c>
      <c r="G603">
        <v>18607.374617450972</v>
      </c>
      <c r="H603">
        <v>85104.03139566035</v>
      </c>
      <c r="I603">
        <v>407652.08202733303</v>
      </c>
      <c r="J603">
        <v>7389034.6546434173</v>
      </c>
      <c r="K603" s="68">
        <v>7905439.7732310249</v>
      </c>
    </row>
    <row r="604" spans="1:11" x14ac:dyDescent="0.35">
      <c r="A604">
        <v>604</v>
      </c>
      <c r="B604">
        <v>0.59070976415868903</v>
      </c>
      <c r="C604">
        <v>156.49030377494839</v>
      </c>
      <c r="D604">
        <v>739.93564461056712</v>
      </c>
      <c r="E604">
        <v>2025.5528298434476</v>
      </c>
      <c r="F604">
        <v>7983.9108808907486</v>
      </c>
      <c r="G604">
        <v>18701.630427564414</v>
      </c>
      <c r="H604">
        <v>85212.509104167693</v>
      </c>
      <c r="I604">
        <v>407852.56515917863</v>
      </c>
      <c r="J604">
        <v>7389640.6452296758</v>
      </c>
      <c r="K604" s="68">
        <v>7907986.9628678765</v>
      </c>
    </row>
    <row r="605" spans="1:11" x14ac:dyDescent="0.35">
      <c r="A605">
        <v>605</v>
      </c>
      <c r="B605">
        <v>0.60584022299454421</v>
      </c>
      <c r="C605">
        <v>168.41772672617947</v>
      </c>
      <c r="D605">
        <v>790.01745990464315</v>
      </c>
      <c r="E605">
        <v>2140.9915614459828</v>
      </c>
      <c r="F605">
        <v>7997.3561094206325</v>
      </c>
      <c r="G605">
        <v>18826.749829821052</v>
      </c>
      <c r="H605">
        <v>85219.071438442566</v>
      </c>
      <c r="I605">
        <v>407929.11196634686</v>
      </c>
      <c r="J605">
        <v>7392257.9181970544</v>
      </c>
      <c r="K605" s="68">
        <v>7910819.550003387</v>
      </c>
    </row>
    <row r="606" spans="1:11" x14ac:dyDescent="0.35">
      <c r="A606">
        <v>606</v>
      </c>
      <c r="B606">
        <v>0.70729469301162806</v>
      </c>
      <c r="C606">
        <v>176.76919961251207</v>
      </c>
      <c r="D606">
        <v>804.45467119530144</v>
      </c>
      <c r="E606">
        <v>2212.8616278478921</v>
      </c>
      <c r="F606">
        <v>8041.8930083208843</v>
      </c>
      <c r="G606">
        <v>18832.771559682529</v>
      </c>
      <c r="H606">
        <v>85243.198682955437</v>
      </c>
      <c r="I606">
        <v>408670.38649733312</v>
      </c>
      <c r="J606">
        <v>7392943.1052526254</v>
      </c>
      <c r="K606" s="68">
        <v>7910977.1794436537</v>
      </c>
    </row>
    <row r="607" spans="1:11" x14ac:dyDescent="0.35">
      <c r="A607">
        <v>607</v>
      </c>
      <c r="B607">
        <v>0.77564035345227267</v>
      </c>
      <c r="C607">
        <v>186.74290909987963</v>
      </c>
      <c r="D607">
        <v>823.29440530894806</v>
      </c>
      <c r="E607">
        <v>2263.3209327858713</v>
      </c>
      <c r="F607">
        <v>8070.6232416793773</v>
      </c>
      <c r="G607">
        <v>18873.421510629854</v>
      </c>
      <c r="H607">
        <v>85296.623683217404</v>
      </c>
      <c r="I607">
        <v>408736.6631496874</v>
      </c>
      <c r="J607">
        <v>7393108.4682107698</v>
      </c>
      <c r="K607" s="68">
        <v>7911684.5545324404</v>
      </c>
    </row>
    <row r="608" spans="1:11" x14ac:dyDescent="0.35">
      <c r="A608">
        <v>608</v>
      </c>
      <c r="B608">
        <v>0.80827946854144095</v>
      </c>
      <c r="C608">
        <v>194.06796186105151</v>
      </c>
      <c r="D608">
        <v>859.09119256902022</v>
      </c>
      <c r="E608">
        <v>2265.795385784324</v>
      </c>
      <c r="F608">
        <v>8201.4349374644826</v>
      </c>
      <c r="G608">
        <v>18924.374493159954</v>
      </c>
      <c r="H608">
        <v>85637.746357996381</v>
      </c>
      <c r="I608">
        <v>408928.78735082969</v>
      </c>
      <c r="J608">
        <v>7393662.4963283213</v>
      </c>
      <c r="K608" s="68">
        <v>7914381.2423196975</v>
      </c>
    </row>
    <row r="609" spans="1:11" x14ac:dyDescent="0.35">
      <c r="A609">
        <v>609</v>
      </c>
      <c r="B609">
        <v>0.84929178340114442</v>
      </c>
      <c r="C609">
        <v>196.76107157149266</v>
      </c>
      <c r="D609">
        <v>926.48399435359556</v>
      </c>
      <c r="E609">
        <v>2271.79040209197</v>
      </c>
      <c r="F609">
        <v>8209.9008603089842</v>
      </c>
      <c r="G609">
        <v>19102.508882003349</v>
      </c>
      <c r="H609">
        <v>85791.125773014297</v>
      </c>
      <c r="I609">
        <v>409107.43012254691</v>
      </c>
      <c r="J609">
        <v>7395283.1427019536</v>
      </c>
      <c r="K609" s="68">
        <v>7915615.6186586823</v>
      </c>
    </row>
    <row r="610" spans="1:11" x14ac:dyDescent="0.35">
      <c r="A610">
        <v>610</v>
      </c>
      <c r="B610">
        <v>0.89212919831502357</v>
      </c>
      <c r="C610">
        <v>213.0052811781633</v>
      </c>
      <c r="D610">
        <v>926.87565509674562</v>
      </c>
      <c r="E610">
        <v>2280.8516204842235</v>
      </c>
      <c r="F610">
        <v>8237.0058374345135</v>
      </c>
      <c r="G610">
        <v>19122.91997307292</v>
      </c>
      <c r="H610">
        <v>85836.543524304812</v>
      </c>
      <c r="I610">
        <v>409166.65756327368</v>
      </c>
      <c r="J610">
        <v>7395661.6794493413</v>
      </c>
      <c r="K610" s="68">
        <v>7915810.9674662165</v>
      </c>
    </row>
    <row r="611" spans="1:11" x14ac:dyDescent="0.35">
      <c r="A611">
        <v>611</v>
      </c>
      <c r="B611">
        <v>0.89614966669847218</v>
      </c>
      <c r="C611">
        <v>221.77849566424877</v>
      </c>
      <c r="D611">
        <v>938.62555919499937</v>
      </c>
      <c r="E611">
        <v>2382.0122459871363</v>
      </c>
      <c r="F611">
        <v>8244.553374156123</v>
      </c>
      <c r="G611">
        <v>19289.341143098423</v>
      </c>
      <c r="H611">
        <v>85862.761022043996</v>
      </c>
      <c r="I611">
        <v>409470.28546946699</v>
      </c>
      <c r="J611">
        <v>7397160.7080563251</v>
      </c>
      <c r="K611" s="68">
        <v>7917137.6688857907</v>
      </c>
    </row>
    <row r="612" spans="1:11" x14ac:dyDescent="0.35">
      <c r="A612">
        <v>612</v>
      </c>
      <c r="B612">
        <v>1.0712405720184661</v>
      </c>
      <c r="C612">
        <v>223.06761337192194</v>
      </c>
      <c r="D612">
        <v>981.57235731939613</v>
      </c>
      <c r="E612">
        <v>2487.0719138097111</v>
      </c>
      <c r="F612">
        <v>8251.4498805700732</v>
      </c>
      <c r="G612">
        <v>19324.590142769986</v>
      </c>
      <c r="H612">
        <v>86444.953672688323</v>
      </c>
      <c r="I612">
        <v>409517.38656504988</v>
      </c>
      <c r="J612">
        <v>7398012.7840091232</v>
      </c>
      <c r="K612" s="68">
        <v>7917294.3081328142</v>
      </c>
    </row>
    <row r="613" spans="1:11" x14ac:dyDescent="0.35">
      <c r="A613">
        <v>613</v>
      </c>
      <c r="B613">
        <v>1.1876454733899697</v>
      </c>
      <c r="C613">
        <v>227.71455165264831</v>
      </c>
      <c r="D613">
        <v>991.55936806456418</v>
      </c>
      <c r="E613">
        <v>2507.8954102068665</v>
      </c>
      <c r="F613">
        <v>8419.9554684738396</v>
      </c>
      <c r="G613">
        <v>19327.575436603816</v>
      </c>
      <c r="H613">
        <v>86513.094277757002</v>
      </c>
      <c r="I613">
        <v>410061.23743309418</v>
      </c>
      <c r="J613">
        <v>7401006.6070998218</v>
      </c>
      <c r="K613" s="68">
        <v>7921821.5016566291</v>
      </c>
    </row>
    <row r="614" spans="1:11" x14ac:dyDescent="0.35">
      <c r="A614">
        <v>614</v>
      </c>
      <c r="B614">
        <v>1.3191128897918718</v>
      </c>
      <c r="C614">
        <v>228.5639378856649</v>
      </c>
      <c r="D614">
        <v>995.86824013359387</v>
      </c>
      <c r="E614">
        <v>2548.8452445640346</v>
      </c>
      <c r="F614">
        <v>8520.9590814898274</v>
      </c>
      <c r="G614">
        <v>19331.738245887405</v>
      </c>
      <c r="H614">
        <v>86580.525022332309</v>
      </c>
      <c r="I614">
        <v>410117.3993448203</v>
      </c>
      <c r="J614">
        <v>7401079.6077021612</v>
      </c>
      <c r="K614" s="68">
        <v>7922589.1920644362</v>
      </c>
    </row>
    <row r="615" spans="1:11" x14ac:dyDescent="0.35">
      <c r="A615">
        <v>615</v>
      </c>
      <c r="B615">
        <v>1.3315762299622949</v>
      </c>
      <c r="C615">
        <v>267.20902185647992</v>
      </c>
      <c r="D615">
        <v>1014.2757356450948</v>
      </c>
      <c r="E615">
        <v>2567.008727087451</v>
      </c>
      <c r="F615">
        <v>8581.2801625613429</v>
      </c>
      <c r="G615">
        <v>19477.920540227595</v>
      </c>
      <c r="H615">
        <v>86606.797803954454</v>
      </c>
      <c r="I615">
        <v>410162.19913046126</v>
      </c>
      <c r="J615">
        <v>7402715.4534579823</v>
      </c>
      <c r="K615" s="68">
        <v>7922644.5870106276</v>
      </c>
    </row>
    <row r="616" spans="1:11" x14ac:dyDescent="0.35">
      <c r="A616">
        <v>616</v>
      </c>
      <c r="B616">
        <v>1.5315000680949336</v>
      </c>
      <c r="C616">
        <v>275.16761036314603</v>
      </c>
      <c r="D616">
        <v>1036.0968879142572</v>
      </c>
      <c r="E616">
        <v>2575.6805024188179</v>
      </c>
      <c r="F616">
        <v>8606.15881821519</v>
      </c>
      <c r="G616">
        <v>19666.423779858011</v>
      </c>
      <c r="H616">
        <v>86852.466959754791</v>
      </c>
      <c r="I616">
        <v>410993.3964045865</v>
      </c>
      <c r="J616">
        <v>7405742.7274345607</v>
      </c>
      <c r="K616" s="68">
        <v>7922882.2066215556</v>
      </c>
    </row>
    <row r="617" spans="1:11" x14ac:dyDescent="0.35">
      <c r="A617">
        <v>617</v>
      </c>
      <c r="B617">
        <v>1.5784855583947579</v>
      </c>
      <c r="C617">
        <v>276.53977848616535</v>
      </c>
      <c r="D617">
        <v>1036.8329317721261</v>
      </c>
      <c r="E617">
        <v>2702.0227854383566</v>
      </c>
      <c r="F617">
        <v>8615.1858040677344</v>
      </c>
      <c r="G617">
        <v>19758.467014273247</v>
      </c>
      <c r="H617">
        <v>87002.841001223947</v>
      </c>
      <c r="I617">
        <v>411103.67188134702</v>
      </c>
      <c r="J617">
        <v>7408670.4478154536</v>
      </c>
      <c r="K617" s="68">
        <v>7923261.0325565021</v>
      </c>
    </row>
    <row r="618" spans="1:11" x14ac:dyDescent="0.35">
      <c r="A618">
        <v>618</v>
      </c>
      <c r="B618">
        <v>1.6821500854268256</v>
      </c>
      <c r="C618">
        <v>285.30320160171294</v>
      </c>
      <c r="D618">
        <v>1037.145633016567</v>
      </c>
      <c r="E618">
        <v>2740.4538111076176</v>
      </c>
      <c r="F618">
        <v>8766.1414670376744</v>
      </c>
      <c r="G618">
        <v>19808.589360882212</v>
      </c>
      <c r="H618">
        <v>87080.70301851054</v>
      </c>
      <c r="I618">
        <v>411538.69500874227</v>
      </c>
      <c r="J618">
        <v>7411215.5834347643</v>
      </c>
      <c r="K618" s="68">
        <v>7926711.8656159332</v>
      </c>
    </row>
    <row r="619" spans="1:11" x14ac:dyDescent="0.35">
      <c r="A619">
        <v>619</v>
      </c>
      <c r="B619">
        <v>1.7014012517099004</v>
      </c>
      <c r="C619">
        <v>291.09498319300957</v>
      </c>
      <c r="D619">
        <v>1040.7327450030189</v>
      </c>
      <c r="E619">
        <v>2830.3384091519101</v>
      </c>
      <c r="F619">
        <v>8798.1712679628599</v>
      </c>
      <c r="G619">
        <v>19830.662113512662</v>
      </c>
      <c r="H619">
        <v>87081.97569263191</v>
      </c>
      <c r="I619">
        <v>411941.44547343982</v>
      </c>
      <c r="J619">
        <v>7414476.9563750271</v>
      </c>
      <c r="K619" s="68">
        <v>7927745.3103112848</v>
      </c>
    </row>
    <row r="620" spans="1:11" x14ac:dyDescent="0.35">
      <c r="A620">
        <v>620</v>
      </c>
      <c r="B620">
        <v>1.7743298519184649</v>
      </c>
      <c r="C620">
        <v>308.04406325369916</v>
      </c>
      <c r="D620">
        <v>1083.0365463869116</v>
      </c>
      <c r="E620">
        <v>2836.3948116661968</v>
      </c>
      <c r="F620">
        <v>8849.4131305478531</v>
      </c>
      <c r="G620">
        <v>19931.698670547095</v>
      </c>
      <c r="H620">
        <v>87441.526505779257</v>
      </c>
      <c r="I620">
        <v>411970.63822461077</v>
      </c>
      <c r="J620">
        <v>7414691.441081848</v>
      </c>
      <c r="K620" s="68">
        <v>7928635.3835864393</v>
      </c>
    </row>
    <row r="621" spans="1:11" x14ac:dyDescent="0.35">
      <c r="A621">
        <v>621</v>
      </c>
      <c r="B621">
        <v>1.8803008099266603</v>
      </c>
      <c r="C621">
        <v>319.13693317218451</v>
      </c>
      <c r="D621">
        <v>1102.6745792709071</v>
      </c>
      <c r="E621">
        <v>2960.7883042145131</v>
      </c>
      <c r="F621">
        <v>8928.2602102905057</v>
      </c>
      <c r="G621">
        <v>19982.482230968642</v>
      </c>
      <c r="H621">
        <v>87503.884419482914</v>
      </c>
      <c r="I621">
        <v>412308.30621826643</v>
      </c>
      <c r="J621">
        <v>7414887.6165712243</v>
      </c>
      <c r="K621" s="68">
        <v>7930812.1276684469</v>
      </c>
    </row>
    <row r="622" spans="1:11" x14ac:dyDescent="0.35">
      <c r="A622">
        <v>622</v>
      </c>
      <c r="B622">
        <v>2.150678481690222</v>
      </c>
      <c r="C622">
        <v>332.74589177833275</v>
      </c>
      <c r="D622">
        <v>1103.8692772388017</v>
      </c>
      <c r="E622">
        <v>3086.730125876587</v>
      </c>
      <c r="F622">
        <v>8944.5674999069051</v>
      </c>
      <c r="G622">
        <v>20040.139590089075</v>
      </c>
      <c r="H622">
        <v>87519.775667554743</v>
      </c>
      <c r="I622">
        <v>412371.74538837461</v>
      </c>
      <c r="J622">
        <v>7415224.6005750438</v>
      </c>
      <c r="K622" s="68">
        <v>7930813.217509781</v>
      </c>
    </row>
    <row r="623" spans="1:11" x14ac:dyDescent="0.35">
      <c r="A623">
        <v>623</v>
      </c>
      <c r="B623">
        <v>2.245299002763038</v>
      </c>
      <c r="C623">
        <v>346.74131660410154</v>
      </c>
      <c r="D623">
        <v>1108.6340217785801</v>
      </c>
      <c r="E623">
        <v>3135.9136135039362</v>
      </c>
      <c r="F623">
        <v>8981.8457658401858</v>
      </c>
      <c r="G623">
        <v>20163.352727386427</v>
      </c>
      <c r="H623">
        <v>87552.469669452053</v>
      </c>
      <c r="I623">
        <v>412653.12188213371</v>
      </c>
      <c r="J623">
        <v>7418461.1211380251</v>
      </c>
      <c r="K623" s="68">
        <v>7933227.3146798415</v>
      </c>
    </row>
    <row r="624" spans="1:11" x14ac:dyDescent="0.35">
      <c r="A624">
        <v>624</v>
      </c>
      <c r="B624">
        <v>2.5340407595585415</v>
      </c>
      <c r="C624">
        <v>362.17924772504568</v>
      </c>
      <c r="D624">
        <v>1154.8426998034176</v>
      </c>
      <c r="E624">
        <v>3157.1819047514</v>
      </c>
      <c r="F624">
        <v>9012.364633905956</v>
      </c>
      <c r="G624">
        <v>20343.675417077142</v>
      </c>
      <c r="H624">
        <v>87554.005005910716</v>
      </c>
      <c r="I624">
        <v>413732.82475114171</v>
      </c>
      <c r="J624">
        <v>7418597.8619935876</v>
      </c>
      <c r="K624" s="68">
        <v>7934033.6823647982</v>
      </c>
    </row>
    <row r="625" spans="1:11" x14ac:dyDescent="0.35">
      <c r="A625">
        <v>625</v>
      </c>
      <c r="B625">
        <v>2.6036952545854559</v>
      </c>
      <c r="C625">
        <v>366.48653469144637</v>
      </c>
      <c r="D625">
        <v>1168.9113370531786</v>
      </c>
      <c r="E625">
        <v>3192.4530450356297</v>
      </c>
      <c r="F625">
        <v>9048.9753219800295</v>
      </c>
      <c r="G625">
        <v>20410.864977884754</v>
      </c>
      <c r="H625">
        <v>87622.537545817191</v>
      </c>
      <c r="I625">
        <v>414225.05087705894</v>
      </c>
      <c r="J625">
        <v>7420115.8168247687</v>
      </c>
      <c r="K625" s="68">
        <v>7934663.9845473757</v>
      </c>
    </row>
    <row r="626" spans="1:11" x14ac:dyDescent="0.35">
      <c r="A626">
        <v>626</v>
      </c>
      <c r="B626">
        <v>2.7760079038386314</v>
      </c>
      <c r="C626">
        <v>386.93594079259213</v>
      </c>
      <c r="D626">
        <v>1170.4103751637704</v>
      </c>
      <c r="E626">
        <v>3256.589357871635</v>
      </c>
      <c r="F626">
        <v>9065.4153506199873</v>
      </c>
      <c r="G626">
        <v>20419.720358637838</v>
      </c>
      <c r="H626">
        <v>87834.894444112811</v>
      </c>
      <c r="I626">
        <v>414227.12078935979</v>
      </c>
      <c r="J626">
        <v>7420305.4077904038</v>
      </c>
      <c r="K626" s="68">
        <v>7937507.9984207619</v>
      </c>
    </row>
    <row r="627" spans="1:11" x14ac:dyDescent="0.35">
      <c r="A627">
        <v>627</v>
      </c>
      <c r="B627">
        <v>3.0454181867281336</v>
      </c>
      <c r="C627">
        <v>394.51356787082631</v>
      </c>
      <c r="D627">
        <v>1170.9128055714596</v>
      </c>
      <c r="E627">
        <v>3310.579242519756</v>
      </c>
      <c r="F627">
        <v>9101.8514631597009</v>
      </c>
      <c r="G627">
        <v>20431.451524794407</v>
      </c>
      <c r="H627">
        <v>88642.706347986328</v>
      </c>
      <c r="I627">
        <v>414380.36997005239</v>
      </c>
      <c r="J627">
        <v>7424463.812656166</v>
      </c>
      <c r="K627" s="68">
        <v>7938339.4962532772</v>
      </c>
    </row>
    <row r="628" spans="1:11" x14ac:dyDescent="0.35">
      <c r="A628">
        <v>628</v>
      </c>
      <c r="B628">
        <v>3.0679144279257891</v>
      </c>
      <c r="C628">
        <v>403.50713459513315</v>
      </c>
      <c r="D628">
        <v>1174.700817689109</v>
      </c>
      <c r="E628">
        <v>3351.9442734035015</v>
      </c>
      <c r="F628">
        <v>9369.3082640282064</v>
      </c>
      <c r="G628">
        <v>20530.247059319921</v>
      </c>
      <c r="H628">
        <v>88964.907654766095</v>
      </c>
      <c r="I628">
        <v>414496.57791578444</v>
      </c>
      <c r="J628">
        <v>7424628.2240019403</v>
      </c>
      <c r="K628" s="68">
        <v>7938350.9836516744</v>
      </c>
    </row>
    <row r="629" spans="1:11" x14ac:dyDescent="0.35">
      <c r="A629">
        <v>629</v>
      </c>
      <c r="B629">
        <v>3.1840661807751034</v>
      </c>
      <c r="C629">
        <v>406.57980640208302</v>
      </c>
      <c r="D629">
        <v>1180.6927491903032</v>
      </c>
      <c r="E629">
        <v>3357.3191530503354</v>
      </c>
      <c r="F629">
        <v>9376.5210684614576</v>
      </c>
      <c r="G629">
        <v>20610.47726344904</v>
      </c>
      <c r="H629">
        <v>89429.707427385903</v>
      </c>
      <c r="I629">
        <v>414818.6823844196</v>
      </c>
      <c r="J629">
        <v>7425604.6347099664</v>
      </c>
      <c r="K629" s="68">
        <v>7940211.0545260608</v>
      </c>
    </row>
    <row r="630" spans="1:11" x14ac:dyDescent="0.35">
      <c r="A630">
        <v>630</v>
      </c>
      <c r="B630">
        <v>3.2021058058091736</v>
      </c>
      <c r="C630">
        <v>415.06283739291348</v>
      </c>
      <c r="D630">
        <v>1191.6359343061681</v>
      </c>
      <c r="E630">
        <v>3403.1771621687972</v>
      </c>
      <c r="F630">
        <v>9400.827062615459</v>
      </c>
      <c r="G630">
        <v>20646.787652025159</v>
      </c>
      <c r="H630">
        <v>89446.730198977923</v>
      </c>
      <c r="I630">
        <v>414930.97388028092</v>
      </c>
      <c r="J630">
        <v>7425785.2463300247</v>
      </c>
      <c r="K630" s="68">
        <v>7944405.5382371517</v>
      </c>
    </row>
    <row r="631" spans="1:11" x14ac:dyDescent="0.35">
      <c r="A631">
        <v>631</v>
      </c>
      <c r="B631">
        <v>3.2060819160737348</v>
      </c>
      <c r="C631">
        <v>423.41237594673271</v>
      </c>
      <c r="D631">
        <v>1196.3353304703487</v>
      </c>
      <c r="E631">
        <v>3411.8643848973397</v>
      </c>
      <c r="F631">
        <v>9411.5830183501548</v>
      </c>
      <c r="G631">
        <v>20651.154504008235</v>
      </c>
      <c r="H631">
        <v>89531.49556224863</v>
      </c>
      <c r="I631">
        <v>414998.63310003403</v>
      </c>
      <c r="J631">
        <v>7426169.8102741651</v>
      </c>
      <c r="K631" s="68">
        <v>7949868.9138186527</v>
      </c>
    </row>
    <row r="632" spans="1:11" x14ac:dyDescent="0.35">
      <c r="A632">
        <v>632</v>
      </c>
      <c r="B632">
        <v>3.2610227767198543</v>
      </c>
      <c r="C632">
        <v>426.54204465587321</v>
      </c>
      <c r="D632">
        <v>1202.5923985569061</v>
      </c>
      <c r="E632">
        <v>3416.138343493737</v>
      </c>
      <c r="F632">
        <v>9428.9919274638087</v>
      </c>
      <c r="G632">
        <v>20663.509129761092</v>
      </c>
      <c r="H632">
        <v>89726.436304311763</v>
      </c>
      <c r="I632">
        <v>415086.31641713955</v>
      </c>
      <c r="J632">
        <v>7426791.9403463686</v>
      </c>
      <c r="K632" s="68">
        <v>7951025.4447926981</v>
      </c>
    </row>
    <row r="633" spans="1:11" x14ac:dyDescent="0.35">
      <c r="A633">
        <v>633</v>
      </c>
      <c r="B633">
        <v>3.3097604573251949</v>
      </c>
      <c r="C633">
        <v>443.51268956564081</v>
      </c>
      <c r="D633">
        <v>1211.2731487588499</v>
      </c>
      <c r="E633">
        <v>3677.5232827162426</v>
      </c>
      <c r="F633">
        <v>9507.9344240511273</v>
      </c>
      <c r="G633">
        <v>20943.935361946933</v>
      </c>
      <c r="H633">
        <v>89744.579172888363</v>
      </c>
      <c r="I633">
        <v>415130.87376386719</v>
      </c>
      <c r="J633">
        <v>7428323.8823510371</v>
      </c>
      <c r="K633" s="68">
        <v>7954404.3382090619</v>
      </c>
    </row>
    <row r="634" spans="1:11" x14ac:dyDescent="0.35">
      <c r="A634">
        <v>634</v>
      </c>
      <c r="B634">
        <v>3.4878918915867665</v>
      </c>
      <c r="C634">
        <v>444.41484065522508</v>
      </c>
      <c r="D634">
        <v>1213.5543359955673</v>
      </c>
      <c r="E634">
        <v>3691.7471046078426</v>
      </c>
      <c r="F634">
        <v>9533.4798079731936</v>
      </c>
      <c r="G634">
        <v>20998.131956865131</v>
      </c>
      <c r="H634">
        <v>89809.959589979451</v>
      </c>
      <c r="I634">
        <v>415744.63820856513</v>
      </c>
      <c r="J634">
        <v>7429898.6650073742</v>
      </c>
      <c r="K634" s="68">
        <v>7954799.1098795384</v>
      </c>
    </row>
    <row r="635" spans="1:11" x14ac:dyDescent="0.35">
      <c r="A635">
        <v>635</v>
      </c>
      <c r="B635">
        <v>3.5860179020705671</v>
      </c>
      <c r="C635">
        <v>444.71322673123206</v>
      </c>
      <c r="D635">
        <v>1238.542323268344</v>
      </c>
      <c r="E635">
        <v>3722.4038041106387</v>
      </c>
      <c r="F635">
        <v>9556.3653875559321</v>
      </c>
      <c r="G635">
        <v>21005.566149066093</v>
      </c>
      <c r="H635">
        <v>89844.77032097042</v>
      </c>
      <c r="I635">
        <v>416368.86021538702</v>
      </c>
      <c r="J635">
        <v>7430581.6693282332</v>
      </c>
      <c r="K635" s="68">
        <v>7961358.6877330579</v>
      </c>
    </row>
    <row r="636" spans="1:11" x14ac:dyDescent="0.35">
      <c r="A636">
        <v>636</v>
      </c>
      <c r="B636">
        <v>4.0074074563711948</v>
      </c>
      <c r="C636">
        <v>449.40130610481538</v>
      </c>
      <c r="D636">
        <v>1251.0350805440507</v>
      </c>
      <c r="E636">
        <v>3783.6132107712019</v>
      </c>
      <c r="F636">
        <v>9567.1096491921562</v>
      </c>
      <c r="G636">
        <v>21141.320741751668</v>
      </c>
      <c r="H636">
        <v>89998.89384833134</v>
      </c>
      <c r="I636">
        <v>416697.60297820717</v>
      </c>
      <c r="J636">
        <v>7431356.5011003446</v>
      </c>
      <c r="K636" s="68">
        <v>7965751.5887267087</v>
      </c>
    </row>
    <row r="637" spans="1:11" x14ac:dyDescent="0.35">
      <c r="A637">
        <v>637</v>
      </c>
      <c r="B637">
        <v>4.0783963673024983</v>
      </c>
      <c r="C637">
        <v>459.48431912280751</v>
      </c>
      <c r="D637">
        <v>1269.8574094976454</v>
      </c>
      <c r="E637">
        <v>3791.9387558520443</v>
      </c>
      <c r="F637">
        <v>9667.6813011827271</v>
      </c>
      <c r="G637">
        <v>21173.444174385913</v>
      </c>
      <c r="H637">
        <v>90120.670862937463</v>
      </c>
      <c r="I637">
        <v>416899.45559908386</v>
      </c>
      <c r="J637">
        <v>7433380.6189363478</v>
      </c>
      <c r="K637" s="68">
        <v>7967203.4432979217</v>
      </c>
    </row>
    <row r="638" spans="1:11" x14ac:dyDescent="0.35">
      <c r="A638">
        <v>638</v>
      </c>
      <c r="B638">
        <v>4.1411246791254754</v>
      </c>
      <c r="C638">
        <v>461.16637101917456</v>
      </c>
      <c r="D638">
        <v>1316.5607721161171</v>
      </c>
      <c r="E638">
        <v>3848.0053654413796</v>
      </c>
      <c r="F638">
        <v>9710.6211581675361</v>
      </c>
      <c r="G638">
        <v>21198.584988844807</v>
      </c>
      <c r="H638">
        <v>90276.7500244111</v>
      </c>
      <c r="I638">
        <v>417333.42857115075</v>
      </c>
      <c r="J638">
        <v>7436303.8928321265</v>
      </c>
      <c r="K638" s="68">
        <v>7978334.5704767881</v>
      </c>
    </row>
    <row r="639" spans="1:11" x14ac:dyDescent="0.35">
      <c r="A639">
        <v>639</v>
      </c>
      <c r="B639">
        <v>4.4510319129217244</v>
      </c>
      <c r="C639">
        <v>486.5509960151515</v>
      </c>
      <c r="D639">
        <v>1333.8345854705649</v>
      </c>
      <c r="E639">
        <v>3850.2335625099131</v>
      </c>
      <c r="F639">
        <v>9778.0644725679867</v>
      </c>
      <c r="G639">
        <v>21216.989929665644</v>
      </c>
      <c r="H639">
        <v>90392.920154287145</v>
      </c>
      <c r="I639">
        <v>417690.91784150881</v>
      </c>
      <c r="J639">
        <v>7438454.1135300118</v>
      </c>
      <c r="K639" s="68">
        <v>7978434.6502049183</v>
      </c>
    </row>
    <row r="640" spans="1:11" x14ac:dyDescent="0.35">
      <c r="A640">
        <v>640</v>
      </c>
      <c r="B640">
        <v>4.8147292832457387</v>
      </c>
      <c r="C640">
        <v>497.88701389523396</v>
      </c>
      <c r="D640">
        <v>1334.098366291576</v>
      </c>
      <c r="E640">
        <v>3863.2636064179942</v>
      </c>
      <c r="F640">
        <v>9953.994497995629</v>
      </c>
      <c r="G640">
        <v>21268.78468187886</v>
      </c>
      <c r="H640">
        <v>90509.298039442539</v>
      </c>
      <c r="I640">
        <v>417727.77477649751</v>
      </c>
      <c r="J640">
        <v>7439967.7891477635</v>
      </c>
      <c r="K640" s="68">
        <v>7979355.0704817632</v>
      </c>
    </row>
    <row r="641" spans="1:11" x14ac:dyDescent="0.35">
      <c r="A641">
        <v>641</v>
      </c>
      <c r="B641">
        <v>4.90872580443577</v>
      </c>
      <c r="C641">
        <v>501.48624053267457</v>
      </c>
      <c r="D641">
        <v>1343.0867042167242</v>
      </c>
      <c r="E641">
        <v>3873.4162156375687</v>
      </c>
      <c r="F641">
        <v>10004.748429455261</v>
      </c>
      <c r="G641">
        <v>21288.316934315324</v>
      </c>
      <c r="H641">
        <v>90624.876491534684</v>
      </c>
      <c r="I641">
        <v>418189.87841051846</v>
      </c>
      <c r="J641">
        <v>7441078.9253688529</v>
      </c>
      <c r="K641" s="68">
        <v>7980405.6520536179</v>
      </c>
    </row>
    <row r="642" spans="1:11" x14ac:dyDescent="0.35">
      <c r="A642">
        <v>642</v>
      </c>
      <c r="B642">
        <v>4.9107287577624312</v>
      </c>
      <c r="C642">
        <v>528.4199418884848</v>
      </c>
      <c r="D642">
        <v>1385.4940818668092</v>
      </c>
      <c r="E642">
        <v>3874.7262210244717</v>
      </c>
      <c r="F642">
        <v>10076.520802473455</v>
      </c>
      <c r="G642">
        <v>21357.669587394368</v>
      </c>
      <c r="H642">
        <v>90633.843042613953</v>
      </c>
      <c r="I642">
        <v>418238.37641932309</v>
      </c>
      <c r="J642">
        <v>7441657.412948953</v>
      </c>
      <c r="K642" s="68">
        <v>7984451.0301995343</v>
      </c>
    </row>
    <row r="643" spans="1:11" x14ac:dyDescent="0.35">
      <c r="A643">
        <v>643</v>
      </c>
      <c r="B643">
        <v>5.233208543997411</v>
      </c>
      <c r="C643">
        <v>530.10468830843774</v>
      </c>
      <c r="D643">
        <v>1399.6351584444626</v>
      </c>
      <c r="E643">
        <v>3897.8894802134591</v>
      </c>
      <c r="F643">
        <v>10090.368658541889</v>
      </c>
      <c r="G643">
        <v>21620.330472550439</v>
      </c>
      <c r="H643">
        <v>90947.756308960408</v>
      </c>
      <c r="I643">
        <v>418290.59444284393</v>
      </c>
      <c r="J643">
        <v>7443550.9910956807</v>
      </c>
      <c r="K643" s="68">
        <v>7984590.9041221803</v>
      </c>
    </row>
    <row r="644" spans="1:11" x14ac:dyDescent="0.35">
      <c r="A644">
        <v>644</v>
      </c>
      <c r="B644">
        <v>6.1051385376596619</v>
      </c>
      <c r="C644">
        <v>561.2797377940135</v>
      </c>
      <c r="D644">
        <v>1447.8137253937164</v>
      </c>
      <c r="E644">
        <v>3941.8162760607029</v>
      </c>
      <c r="F644">
        <v>10119.617257467076</v>
      </c>
      <c r="G644">
        <v>21624.924971362991</v>
      </c>
      <c r="H644">
        <v>91020.575736769271</v>
      </c>
      <c r="I644">
        <v>419352.31731561612</v>
      </c>
      <c r="J644">
        <v>7447478.2137134112</v>
      </c>
      <c r="K644" s="68">
        <v>7984934.161053041</v>
      </c>
    </row>
    <row r="645" spans="1:11" x14ac:dyDescent="0.35">
      <c r="A645">
        <v>645</v>
      </c>
      <c r="B645">
        <v>6.2792067532015263</v>
      </c>
      <c r="C645">
        <v>565.14918813694908</v>
      </c>
      <c r="D645">
        <v>1505.9765790580407</v>
      </c>
      <c r="E645">
        <v>3965.3416340271997</v>
      </c>
      <c r="F645">
        <v>10202.93763274638</v>
      </c>
      <c r="G645">
        <v>21736.056082428076</v>
      </c>
      <c r="H645">
        <v>91112.155832083066</v>
      </c>
      <c r="I645">
        <v>419641.29693815397</v>
      </c>
      <c r="J645">
        <v>7447962.500451671</v>
      </c>
      <c r="K645" s="68">
        <v>7985181.2451484557</v>
      </c>
    </row>
    <row r="646" spans="1:11" x14ac:dyDescent="0.35">
      <c r="A646">
        <v>646</v>
      </c>
      <c r="B646">
        <v>6.4114638280973439</v>
      </c>
      <c r="C646">
        <v>579.56610268879592</v>
      </c>
      <c r="D646">
        <v>1527.7589566832319</v>
      </c>
      <c r="E646">
        <v>3979.2917131832851</v>
      </c>
      <c r="F646">
        <v>10251.915988185652</v>
      </c>
      <c r="G646">
        <v>21851.098841950756</v>
      </c>
      <c r="H646">
        <v>91309.334005303506</v>
      </c>
      <c r="I646">
        <v>420244.19429389283</v>
      </c>
      <c r="J646">
        <v>7448924.7265312551</v>
      </c>
      <c r="K646" s="68">
        <v>7987329.1351210549</v>
      </c>
    </row>
    <row r="647" spans="1:11" x14ac:dyDescent="0.35">
      <c r="A647">
        <v>647</v>
      </c>
      <c r="B647">
        <v>6.4819720331049338</v>
      </c>
      <c r="C647">
        <v>585.34963319909332</v>
      </c>
      <c r="D647">
        <v>1528.9083250021122</v>
      </c>
      <c r="E647">
        <v>3983.3012896169212</v>
      </c>
      <c r="F647">
        <v>10356.893091691656</v>
      </c>
      <c r="G647">
        <v>21930.433311175722</v>
      </c>
      <c r="H647">
        <v>91905.151578004079</v>
      </c>
      <c r="I647">
        <v>420282.54801402392</v>
      </c>
      <c r="J647">
        <v>7449143.3598571233</v>
      </c>
      <c r="K647" s="68">
        <v>7988418.5549660753</v>
      </c>
    </row>
    <row r="648" spans="1:11" x14ac:dyDescent="0.35">
      <c r="A648">
        <v>648</v>
      </c>
      <c r="B648">
        <v>7.3660792593859297</v>
      </c>
      <c r="C648">
        <v>596.95852367942871</v>
      </c>
      <c r="D648">
        <v>1531.5284884455918</v>
      </c>
      <c r="E648">
        <v>4038.3348414244811</v>
      </c>
      <c r="F648">
        <v>10383.025804934154</v>
      </c>
      <c r="G648">
        <v>22038.983689638899</v>
      </c>
      <c r="H648">
        <v>92037.171192308524</v>
      </c>
      <c r="I648">
        <v>420382.90693203476</v>
      </c>
      <c r="J648">
        <v>7452195.6566671319</v>
      </c>
      <c r="K648" s="68">
        <v>7992953.4754647128</v>
      </c>
    </row>
    <row r="649" spans="1:11" x14ac:dyDescent="0.35">
      <c r="A649">
        <v>649</v>
      </c>
      <c r="B649">
        <v>7.6501018434030108</v>
      </c>
      <c r="C649">
        <v>605.59168548403909</v>
      </c>
      <c r="D649">
        <v>1559.2190760008032</v>
      </c>
      <c r="E649">
        <v>4044.1157671281294</v>
      </c>
      <c r="F649">
        <v>10419.271152213514</v>
      </c>
      <c r="G649">
        <v>22068.643441991189</v>
      </c>
      <c r="H649">
        <v>92038.419981546584</v>
      </c>
      <c r="I649">
        <v>420520.21062487096</v>
      </c>
      <c r="J649">
        <v>7452888.2968117045</v>
      </c>
      <c r="K649" s="68">
        <v>7992965.4584285347</v>
      </c>
    </row>
    <row r="650" spans="1:11" x14ac:dyDescent="0.35">
      <c r="A650">
        <v>650</v>
      </c>
      <c r="B650">
        <v>8.5021913311992741</v>
      </c>
      <c r="C650">
        <v>645.96946472328671</v>
      </c>
      <c r="D650">
        <v>1586.9827026684559</v>
      </c>
      <c r="E650">
        <v>4081.7460122793932</v>
      </c>
      <c r="F650">
        <v>10434.801112318475</v>
      </c>
      <c r="G650">
        <v>22209.011333291579</v>
      </c>
      <c r="H650">
        <v>92113.495871712905</v>
      </c>
      <c r="I650">
        <v>420554.98675608262</v>
      </c>
      <c r="J650">
        <v>7452960.6167972423</v>
      </c>
      <c r="K650" s="68">
        <v>7994020.1629734263</v>
      </c>
    </row>
    <row r="651" spans="1:11" x14ac:dyDescent="0.35">
      <c r="A651">
        <v>651</v>
      </c>
      <c r="B651">
        <v>8.666045246626787</v>
      </c>
      <c r="C651">
        <v>646.75156744715616</v>
      </c>
      <c r="D651">
        <v>1629.8640823564101</v>
      </c>
      <c r="E651">
        <v>4128.4162055088964</v>
      </c>
      <c r="F651">
        <v>10437.948821233889</v>
      </c>
      <c r="G651">
        <v>22256.87433194141</v>
      </c>
      <c r="H651">
        <v>92429.798284836375</v>
      </c>
      <c r="I651">
        <v>420736.52193384164</v>
      </c>
      <c r="J651">
        <v>7453892.2613927927</v>
      </c>
      <c r="K651" s="68">
        <v>7997385.8016873365</v>
      </c>
    </row>
    <row r="652" spans="1:11" x14ac:dyDescent="0.35">
      <c r="A652">
        <v>652</v>
      </c>
      <c r="B652">
        <v>8.9139744558908784</v>
      </c>
      <c r="C652">
        <v>654.3523684158622</v>
      </c>
      <c r="D652">
        <v>1652.5401905319593</v>
      </c>
      <c r="E652">
        <v>4173.1453032236732</v>
      </c>
      <c r="F652">
        <v>10511.42461054094</v>
      </c>
      <c r="G652">
        <v>22274.950764246121</v>
      </c>
      <c r="H652">
        <v>92583.6380890609</v>
      </c>
      <c r="I652">
        <v>421043.056281086</v>
      </c>
      <c r="J652">
        <v>7454300.4045311613</v>
      </c>
      <c r="K652" s="68">
        <v>7998239.6834509009</v>
      </c>
    </row>
    <row r="653" spans="1:11" x14ac:dyDescent="0.35">
      <c r="A653">
        <v>653</v>
      </c>
      <c r="B653">
        <v>8.9860499225747379</v>
      </c>
      <c r="C653">
        <v>659.51074711236708</v>
      </c>
      <c r="D653">
        <v>1655.7171756434877</v>
      </c>
      <c r="E653">
        <v>4179.5519869939108</v>
      </c>
      <c r="F653">
        <v>10556.441857067561</v>
      </c>
      <c r="G653">
        <v>22332.436665461475</v>
      </c>
      <c r="H653">
        <v>92602.337003481691</v>
      </c>
      <c r="I653">
        <v>421205.09859861375</v>
      </c>
      <c r="J653">
        <v>7455210.1207940886</v>
      </c>
      <c r="K653" s="68">
        <v>7998553.6431959923</v>
      </c>
    </row>
    <row r="654" spans="1:11" x14ac:dyDescent="0.35">
      <c r="A654">
        <v>654</v>
      </c>
      <c r="B654">
        <v>9.0857175015305192</v>
      </c>
      <c r="C654">
        <v>659.54299167220029</v>
      </c>
      <c r="D654">
        <v>1679.778740606552</v>
      </c>
      <c r="E654">
        <v>4230.0628606075597</v>
      </c>
      <c r="F654">
        <v>10627.865868843413</v>
      </c>
      <c r="G654">
        <v>22354.565178240529</v>
      </c>
      <c r="H654">
        <v>92938.266016510868</v>
      </c>
      <c r="I654">
        <v>421515.05636933865</v>
      </c>
      <c r="J654">
        <v>7460322.2186514093</v>
      </c>
      <c r="K654" s="68">
        <v>7999929.1160730906</v>
      </c>
    </row>
    <row r="655" spans="1:11" x14ac:dyDescent="0.35">
      <c r="A655">
        <v>655</v>
      </c>
      <c r="B655">
        <v>9.4267487162399188</v>
      </c>
      <c r="C655">
        <v>664.51893351427771</v>
      </c>
      <c r="D655">
        <v>1748.5178153515735</v>
      </c>
      <c r="E655">
        <v>4342.642848202282</v>
      </c>
      <c r="F655">
        <v>10643.366406930329</v>
      </c>
      <c r="G655">
        <v>22361.20065027837</v>
      </c>
      <c r="H655">
        <v>93155.038953289128</v>
      </c>
      <c r="I655">
        <v>421545.04265141854</v>
      </c>
      <c r="J655">
        <v>7460439.7662207615</v>
      </c>
      <c r="K655" s="68">
        <v>8000157.7551230052</v>
      </c>
    </row>
    <row r="656" spans="1:11" x14ac:dyDescent="0.35">
      <c r="A656">
        <v>656</v>
      </c>
      <c r="B656">
        <v>9.6959723356406791</v>
      </c>
      <c r="C656">
        <v>675.31664231040168</v>
      </c>
      <c r="D656">
        <v>1762.6453493657275</v>
      </c>
      <c r="E656">
        <v>4394.7626803493267</v>
      </c>
      <c r="F656">
        <v>10678.880332078967</v>
      </c>
      <c r="G656">
        <v>22510.151247149432</v>
      </c>
      <c r="H656">
        <v>93306.17334577674</v>
      </c>
      <c r="I656">
        <v>421629.96185933874</v>
      </c>
      <c r="J656">
        <v>7461149.9304542635</v>
      </c>
      <c r="K656" s="68">
        <v>8000663.3241223721</v>
      </c>
    </row>
    <row r="657" spans="1:11" x14ac:dyDescent="0.35">
      <c r="A657">
        <v>657</v>
      </c>
      <c r="B657">
        <v>9.9426560025314146</v>
      </c>
      <c r="C657">
        <v>676.8860114185843</v>
      </c>
      <c r="D657">
        <v>1775.7490509830957</v>
      </c>
      <c r="E657">
        <v>4408.5947326269215</v>
      </c>
      <c r="F657">
        <v>10774.849333581118</v>
      </c>
      <c r="G657">
        <v>22534.2484042914</v>
      </c>
      <c r="H657">
        <v>93545.74950722931</v>
      </c>
      <c r="I657">
        <v>421881.71567861654</v>
      </c>
      <c r="J657">
        <v>7461550.2928527901</v>
      </c>
      <c r="K657" s="68">
        <v>8001591.5229512425</v>
      </c>
    </row>
    <row r="658" spans="1:11" x14ac:dyDescent="0.35">
      <c r="A658">
        <v>658</v>
      </c>
      <c r="B658">
        <v>11.50152970043295</v>
      </c>
      <c r="C658">
        <v>684.73043280544414</v>
      </c>
      <c r="D658">
        <v>1897.1892467911143</v>
      </c>
      <c r="E658">
        <v>4420.3275237097905</v>
      </c>
      <c r="F658">
        <v>10920.311719585003</v>
      </c>
      <c r="G658">
        <v>22656.893714888174</v>
      </c>
      <c r="H658">
        <v>93703.894002661749</v>
      </c>
      <c r="I658">
        <v>422166.00986852642</v>
      </c>
      <c r="J658">
        <v>7461841.2399752745</v>
      </c>
      <c r="K658" s="68">
        <v>8002790.3671399653</v>
      </c>
    </row>
    <row r="659" spans="1:11" x14ac:dyDescent="0.35">
      <c r="A659">
        <v>659</v>
      </c>
      <c r="B659">
        <v>11.65748435176754</v>
      </c>
      <c r="C659">
        <v>700.15444631260289</v>
      </c>
      <c r="D659">
        <v>1939.4322471421958</v>
      </c>
      <c r="E659">
        <v>4444.6260877395507</v>
      </c>
      <c r="F659">
        <v>10987.03097497098</v>
      </c>
      <c r="G659">
        <v>22708.114230716285</v>
      </c>
      <c r="H659">
        <v>93704.160468937771</v>
      </c>
      <c r="I659">
        <v>423329.88593401946</v>
      </c>
      <c r="J659">
        <v>7462399.2871060064</v>
      </c>
      <c r="K659" s="68">
        <v>8002972.5456563048</v>
      </c>
    </row>
    <row r="660" spans="1:11" x14ac:dyDescent="0.35">
      <c r="A660">
        <v>660</v>
      </c>
      <c r="B660">
        <v>11.95167821554222</v>
      </c>
      <c r="C660">
        <v>703.72095854455836</v>
      </c>
      <c r="D660">
        <v>1987.2506483549867</v>
      </c>
      <c r="E660">
        <v>4496.199564872034</v>
      </c>
      <c r="F660">
        <v>10999.175453639416</v>
      </c>
      <c r="G660">
        <v>22721.830255175752</v>
      </c>
      <c r="H660">
        <v>93747.41119835079</v>
      </c>
      <c r="I660">
        <v>423642.50046219683</v>
      </c>
      <c r="J660">
        <v>7463641.27956028</v>
      </c>
      <c r="K660" s="68">
        <v>8004320.7484547682</v>
      </c>
    </row>
    <row r="661" spans="1:11" x14ac:dyDescent="0.35">
      <c r="A661">
        <v>661</v>
      </c>
      <c r="B661">
        <v>12.09391802442893</v>
      </c>
      <c r="C661">
        <v>735.44896088584665</v>
      </c>
      <c r="D661">
        <v>1993.4150441391762</v>
      </c>
      <c r="E661">
        <v>4516.1722934537411</v>
      </c>
      <c r="F661">
        <v>11258.510701629219</v>
      </c>
      <c r="G661">
        <v>22744.043846388624</v>
      </c>
      <c r="H661">
        <v>93970.514067949363</v>
      </c>
      <c r="I661">
        <v>424457.6588916193</v>
      </c>
      <c r="J661">
        <v>7464479.9188892283</v>
      </c>
      <c r="K661" s="68">
        <v>8004417.5070252242</v>
      </c>
    </row>
    <row r="662" spans="1:11" x14ac:dyDescent="0.35">
      <c r="A662">
        <v>662</v>
      </c>
      <c r="B662">
        <v>12.363042549972342</v>
      </c>
      <c r="C662">
        <v>757.96925006624826</v>
      </c>
      <c r="D662">
        <v>2017.9989799764401</v>
      </c>
      <c r="E662">
        <v>4517.5545753545894</v>
      </c>
      <c r="F662">
        <v>11282.548442063655</v>
      </c>
      <c r="G662">
        <v>23028.723988926085</v>
      </c>
      <c r="H662">
        <v>94085.785577348812</v>
      </c>
      <c r="I662">
        <v>424799.85463401471</v>
      </c>
      <c r="J662">
        <v>7469005.6797369616</v>
      </c>
      <c r="K662" s="68">
        <v>8005104.9449031083</v>
      </c>
    </row>
    <row r="663" spans="1:11" x14ac:dyDescent="0.35">
      <c r="A663">
        <v>663</v>
      </c>
      <c r="B663">
        <v>12.639763905655586</v>
      </c>
      <c r="C663">
        <v>761.46087645301179</v>
      </c>
      <c r="D663">
        <v>2023.4488376938364</v>
      </c>
      <c r="E663">
        <v>4721.29988790271</v>
      </c>
      <c r="F663">
        <v>11332.640627573543</v>
      </c>
      <c r="G663">
        <v>23201.411352266907</v>
      </c>
      <c r="H663">
        <v>94293.973424546348</v>
      </c>
      <c r="I663">
        <v>424982.93605218618</v>
      </c>
      <c r="J663">
        <v>7470312.4755654922</v>
      </c>
      <c r="K663" s="68">
        <v>8006631.2968193069</v>
      </c>
    </row>
    <row r="664" spans="1:11" x14ac:dyDescent="0.35">
      <c r="A664">
        <v>664</v>
      </c>
      <c r="B664">
        <v>12.779659455356192</v>
      </c>
      <c r="C664">
        <v>770.46936396992078</v>
      </c>
      <c r="D664">
        <v>2054.4480544628882</v>
      </c>
      <c r="E664">
        <v>4755.8882473665089</v>
      </c>
      <c r="F664">
        <v>11359.304786222781</v>
      </c>
      <c r="G664">
        <v>23270.529539508992</v>
      </c>
      <c r="H664">
        <v>94365.771286838295</v>
      </c>
      <c r="I664">
        <v>425797.95565757895</v>
      </c>
      <c r="J664">
        <v>7472131.82991035</v>
      </c>
      <c r="K664" s="68">
        <v>8007104.2722325064</v>
      </c>
    </row>
    <row r="665" spans="1:11" x14ac:dyDescent="0.35">
      <c r="A665">
        <v>665</v>
      </c>
      <c r="B665">
        <v>13.487665364150528</v>
      </c>
      <c r="C665">
        <v>791.42523299535128</v>
      </c>
      <c r="D665">
        <v>2092.3474328147036</v>
      </c>
      <c r="E665">
        <v>4778.0068988079784</v>
      </c>
      <c r="F665">
        <v>11401.147265836311</v>
      </c>
      <c r="G665">
        <v>23540.469907573715</v>
      </c>
      <c r="H665">
        <v>94550.525998269703</v>
      </c>
      <c r="I665">
        <v>425989.61713942356</v>
      </c>
      <c r="J665">
        <v>7473658.7310085427</v>
      </c>
      <c r="K665" s="68">
        <v>8010776.1733919233</v>
      </c>
    </row>
    <row r="666" spans="1:11" x14ac:dyDescent="0.35">
      <c r="A666">
        <v>666</v>
      </c>
      <c r="B666">
        <v>14.207558381742251</v>
      </c>
      <c r="C666">
        <v>854.60272754312882</v>
      </c>
      <c r="D666">
        <v>2120.0294530434908</v>
      </c>
      <c r="E666">
        <v>4812.5846721051548</v>
      </c>
      <c r="F666">
        <v>11646.900324732944</v>
      </c>
      <c r="G666">
        <v>23567.079809352781</v>
      </c>
      <c r="H666">
        <v>94745.147765033049</v>
      </c>
      <c r="I666">
        <v>426010.46679489035</v>
      </c>
      <c r="J666">
        <v>7474411.5406182092</v>
      </c>
      <c r="K666" s="68">
        <v>8011342.098826535</v>
      </c>
    </row>
    <row r="667" spans="1:11" x14ac:dyDescent="0.35">
      <c r="A667">
        <v>667</v>
      </c>
      <c r="B667">
        <v>14.525805864969232</v>
      </c>
      <c r="C667">
        <v>943.62910858453415</v>
      </c>
      <c r="D667">
        <v>2124.8821895926471</v>
      </c>
      <c r="E667">
        <v>4907.1876584030588</v>
      </c>
      <c r="F667">
        <v>11677.492080689351</v>
      </c>
      <c r="G667">
        <v>23577.203956982994</v>
      </c>
      <c r="H667">
        <v>95044.3175292573</v>
      </c>
      <c r="I667">
        <v>426238.06003608333</v>
      </c>
      <c r="J667">
        <v>7475180.775015031</v>
      </c>
      <c r="K667" s="68">
        <v>8011954.2693098877</v>
      </c>
    </row>
    <row r="668" spans="1:11" x14ac:dyDescent="0.35">
      <c r="A668">
        <v>668</v>
      </c>
      <c r="B668">
        <v>15.275060904478103</v>
      </c>
      <c r="C668">
        <v>963.34077854318969</v>
      </c>
      <c r="D668">
        <v>2133.0828903963647</v>
      </c>
      <c r="E668">
        <v>4991.9368172078603</v>
      </c>
      <c r="F668">
        <v>11726.548246395372</v>
      </c>
      <c r="G668">
        <v>23579.147869944598</v>
      </c>
      <c r="H668">
        <v>95089.087049182475</v>
      </c>
      <c r="I668">
        <v>426470.04725525621</v>
      </c>
      <c r="J668">
        <v>7476012.958703191</v>
      </c>
      <c r="K668" s="68">
        <v>8015573.3858441217</v>
      </c>
    </row>
    <row r="669" spans="1:11" x14ac:dyDescent="0.35">
      <c r="A669">
        <v>669</v>
      </c>
      <c r="B669">
        <v>16.019976700110394</v>
      </c>
      <c r="C669">
        <v>981.94327482239441</v>
      </c>
      <c r="D669">
        <v>2162.0927887122339</v>
      </c>
      <c r="E669">
        <v>5013.3581430976001</v>
      </c>
      <c r="F669">
        <v>11809.105906277033</v>
      </c>
      <c r="G669">
        <v>23647.991270871145</v>
      </c>
      <c r="H669">
        <v>95281.033531932306</v>
      </c>
      <c r="I669">
        <v>426768.94667515258</v>
      </c>
      <c r="J669">
        <v>7476105.8155404814</v>
      </c>
      <c r="K669" s="68">
        <v>8015602.8471845724</v>
      </c>
    </row>
    <row r="670" spans="1:11" x14ac:dyDescent="0.35">
      <c r="A670">
        <v>670</v>
      </c>
      <c r="B670">
        <v>17.933944499059759</v>
      </c>
      <c r="C670">
        <v>998.37921622976614</v>
      </c>
      <c r="D670">
        <v>2163.2518268955123</v>
      </c>
      <c r="E670">
        <v>5100.7667950449395</v>
      </c>
      <c r="F670">
        <v>11925.692303499789</v>
      </c>
      <c r="G670">
        <v>23819.266501903861</v>
      </c>
      <c r="H670">
        <v>95299.633627883624</v>
      </c>
      <c r="I670">
        <v>427019.73177411198</v>
      </c>
      <c r="J670">
        <v>7476153.4344337955</v>
      </c>
      <c r="K670" s="68">
        <v>8016332.1358582638</v>
      </c>
    </row>
    <row r="671" spans="1:11" x14ac:dyDescent="0.35">
      <c r="A671">
        <v>671</v>
      </c>
      <c r="B671">
        <v>18.415793254222944</v>
      </c>
      <c r="C671">
        <v>1013.6489421604035</v>
      </c>
      <c r="D671">
        <v>2245.1094321044029</v>
      </c>
      <c r="E671">
        <v>5221.578314317454</v>
      </c>
      <c r="F671">
        <v>11942.643615948906</v>
      </c>
      <c r="G671">
        <v>23831.025414334854</v>
      </c>
      <c r="H671">
        <v>95740.014912989864</v>
      </c>
      <c r="I671">
        <v>427132.00963077642</v>
      </c>
      <c r="J671">
        <v>7477464.1787771704</v>
      </c>
      <c r="K671" s="68">
        <v>8016499.0114638172</v>
      </c>
    </row>
    <row r="672" spans="1:11" x14ac:dyDescent="0.35">
      <c r="A672">
        <v>672</v>
      </c>
      <c r="B672">
        <v>19.192417420870285</v>
      </c>
      <c r="C672">
        <v>1019.6662695190198</v>
      </c>
      <c r="D672">
        <v>2253.7251964519355</v>
      </c>
      <c r="E672">
        <v>5281.3219227800428</v>
      </c>
      <c r="F672">
        <v>11946.491249283576</v>
      </c>
      <c r="G672">
        <v>23840.253445209379</v>
      </c>
      <c r="H672">
        <v>95792.450289375789</v>
      </c>
      <c r="I672">
        <v>427399.30884332099</v>
      </c>
      <c r="J672">
        <v>7477565.8511359105</v>
      </c>
      <c r="K672" s="68">
        <v>8016604.958685929</v>
      </c>
    </row>
    <row r="673" spans="1:11" x14ac:dyDescent="0.35">
      <c r="A673">
        <v>673</v>
      </c>
      <c r="B673">
        <v>19.233870277874054</v>
      </c>
      <c r="C673">
        <v>1044.5990427656538</v>
      </c>
      <c r="D673">
        <v>2317.4087182764761</v>
      </c>
      <c r="E673">
        <v>5287.6275771554147</v>
      </c>
      <c r="F673">
        <v>11967.057101467479</v>
      </c>
      <c r="G673">
        <v>23844.03843204974</v>
      </c>
      <c r="H673">
        <v>95895.828246869205</v>
      </c>
      <c r="I673">
        <v>428351.95216164907</v>
      </c>
      <c r="J673">
        <v>7478800.0045246677</v>
      </c>
      <c r="K673" s="68">
        <v>8018266.6478683231</v>
      </c>
    </row>
    <row r="674" spans="1:11" x14ac:dyDescent="0.35">
      <c r="A674">
        <v>674</v>
      </c>
      <c r="B674">
        <v>20.021322581412495</v>
      </c>
      <c r="C674">
        <v>1047.1502569140025</v>
      </c>
      <c r="D674">
        <v>2336.3775144177639</v>
      </c>
      <c r="E674">
        <v>5477.9779538630219</v>
      </c>
      <c r="F674">
        <v>12290.759755547979</v>
      </c>
      <c r="G674">
        <v>24234.622480936217</v>
      </c>
      <c r="H674">
        <v>95976.150145843858</v>
      </c>
      <c r="I674">
        <v>429315.24241553579</v>
      </c>
      <c r="J674">
        <v>7482802.2151362346</v>
      </c>
      <c r="K674" s="68">
        <v>8020679.0974396951</v>
      </c>
    </row>
    <row r="675" spans="1:11" x14ac:dyDescent="0.35">
      <c r="A675">
        <v>675</v>
      </c>
      <c r="B675">
        <v>21.34911720782198</v>
      </c>
      <c r="C675">
        <v>1050.4107245048706</v>
      </c>
      <c r="D675">
        <v>2351.4608096534121</v>
      </c>
      <c r="E675">
        <v>5499.3053035608818</v>
      </c>
      <c r="F675">
        <v>12434.581260359661</v>
      </c>
      <c r="G675">
        <v>24298.232758571859</v>
      </c>
      <c r="H675">
        <v>95997.543460576373</v>
      </c>
      <c r="I675">
        <v>429501.07399551809</v>
      </c>
      <c r="J675">
        <v>7483195.4544653734</v>
      </c>
      <c r="K675" s="68">
        <v>8021666.3473124672</v>
      </c>
    </row>
    <row r="676" spans="1:11" x14ac:dyDescent="0.35">
      <c r="A676">
        <v>676</v>
      </c>
      <c r="B676">
        <v>22.999562120798579</v>
      </c>
      <c r="C676">
        <v>1051.8996633282111</v>
      </c>
      <c r="D676">
        <v>2397.6037342267391</v>
      </c>
      <c r="E676">
        <v>5503.8361248928641</v>
      </c>
      <c r="F676">
        <v>12613.451604160393</v>
      </c>
      <c r="G676">
        <v>24492.333468516372</v>
      </c>
      <c r="H676">
        <v>96165.619666653365</v>
      </c>
      <c r="I676">
        <v>429869.61348839442</v>
      </c>
      <c r="J676">
        <v>7483691.489004639</v>
      </c>
      <c r="K676" s="68">
        <v>8022816.4153283006</v>
      </c>
    </row>
    <row r="677" spans="1:11" x14ac:dyDescent="0.35">
      <c r="A677">
        <v>677</v>
      </c>
      <c r="B677">
        <v>23.896097803507438</v>
      </c>
      <c r="C677">
        <v>1059.6606848181343</v>
      </c>
      <c r="D677">
        <v>2398.3724798055823</v>
      </c>
      <c r="E677">
        <v>5676.0518571209159</v>
      </c>
      <c r="F677">
        <v>12625.352791104198</v>
      </c>
      <c r="G677">
        <v>24538.313011730865</v>
      </c>
      <c r="H677">
        <v>96192.627997193282</v>
      </c>
      <c r="I677">
        <v>429993.13277209044</v>
      </c>
      <c r="J677">
        <v>7485578.9504889045</v>
      </c>
      <c r="K677" s="68">
        <v>8023220.6121304985</v>
      </c>
    </row>
    <row r="678" spans="1:11" x14ac:dyDescent="0.35">
      <c r="A678">
        <v>678</v>
      </c>
      <c r="B678">
        <v>26.84598355271067</v>
      </c>
      <c r="C678">
        <v>1082.3030607613136</v>
      </c>
      <c r="D678">
        <v>2416.4748146856764</v>
      </c>
      <c r="E678">
        <v>5898.7690011443101</v>
      </c>
      <c r="F678">
        <v>12681.113862876879</v>
      </c>
      <c r="G678">
        <v>24815.90821336825</v>
      </c>
      <c r="H678">
        <v>96663.757016765157</v>
      </c>
      <c r="I678">
        <v>430284.27467783412</v>
      </c>
      <c r="J678">
        <v>7486508.4754913151</v>
      </c>
      <c r="K678" s="68">
        <v>8024249.8867904339</v>
      </c>
    </row>
    <row r="679" spans="1:11" x14ac:dyDescent="0.35">
      <c r="A679">
        <v>679</v>
      </c>
      <c r="B679">
        <v>27.561361453917925</v>
      </c>
      <c r="C679">
        <v>1129.7824881419447</v>
      </c>
      <c r="D679">
        <v>2434.4136620784734</v>
      </c>
      <c r="E679">
        <v>5971.8852282078924</v>
      </c>
      <c r="F679">
        <v>12845.865386904519</v>
      </c>
      <c r="G679">
        <v>24862.915632209002</v>
      </c>
      <c r="H679">
        <v>96727.195900325343</v>
      </c>
      <c r="I679">
        <v>430710.88558411889</v>
      </c>
      <c r="J679">
        <v>7487461.3114823606</v>
      </c>
      <c r="K679" s="68">
        <v>8025792.5972384308</v>
      </c>
    </row>
    <row r="680" spans="1:11" x14ac:dyDescent="0.35">
      <c r="A680">
        <v>680</v>
      </c>
      <c r="B680">
        <v>27.947960392785141</v>
      </c>
      <c r="C680">
        <v>1143.6669482781906</v>
      </c>
      <c r="D680">
        <v>2461.6083875079976</v>
      </c>
      <c r="E680">
        <v>6049.6091334956591</v>
      </c>
      <c r="F680">
        <v>12877.666467920753</v>
      </c>
      <c r="G680">
        <v>24999.960825648486</v>
      </c>
      <c r="H680">
        <v>96820.98853547794</v>
      </c>
      <c r="I680">
        <v>430913.55331290688</v>
      </c>
      <c r="J680">
        <v>7494214.991845225</v>
      </c>
      <c r="K680" s="68">
        <v>8025962.7553169355</v>
      </c>
    </row>
    <row r="681" spans="1:11" x14ac:dyDescent="0.35">
      <c r="A681">
        <v>681</v>
      </c>
      <c r="B681">
        <v>29.334374310393098</v>
      </c>
      <c r="C681">
        <v>1154.1420397672248</v>
      </c>
      <c r="D681">
        <v>2497.2828034887957</v>
      </c>
      <c r="E681">
        <v>6156.4394369950769</v>
      </c>
      <c r="F681">
        <v>12893.795322725899</v>
      </c>
      <c r="G681">
        <v>25022.931003652349</v>
      </c>
      <c r="H681">
        <v>96908.035904696866</v>
      </c>
      <c r="I681">
        <v>430913.62538393604</v>
      </c>
      <c r="J681">
        <v>7497445.6793173971</v>
      </c>
      <c r="K681" s="68">
        <v>8026545.7102269195</v>
      </c>
    </row>
    <row r="682" spans="1:11" x14ac:dyDescent="0.35">
      <c r="A682">
        <v>682</v>
      </c>
      <c r="B682">
        <v>31.049282250371959</v>
      </c>
      <c r="C682">
        <v>1159.5483087228408</v>
      </c>
      <c r="D682">
        <v>2513.1295231817362</v>
      </c>
      <c r="E682">
        <v>6201.1909050374707</v>
      </c>
      <c r="F682">
        <v>12947.985224080161</v>
      </c>
      <c r="G682">
        <v>25051.87126846406</v>
      </c>
      <c r="H682">
        <v>96933.382519848354</v>
      </c>
      <c r="I682">
        <v>430952.58039419295</v>
      </c>
      <c r="J682">
        <v>7497622.8125897357</v>
      </c>
      <c r="K682" s="68">
        <v>8027226.5565844523</v>
      </c>
    </row>
    <row r="683" spans="1:11" x14ac:dyDescent="0.35">
      <c r="A683">
        <v>683</v>
      </c>
      <c r="B683">
        <v>31.29304665909542</v>
      </c>
      <c r="C683">
        <v>1180.9536629558881</v>
      </c>
      <c r="D683">
        <v>2519.0907122574417</v>
      </c>
      <c r="E683">
        <v>6278.3752714673647</v>
      </c>
      <c r="F683">
        <v>13055.883084474628</v>
      </c>
      <c r="G683">
        <v>25157.573842920956</v>
      </c>
      <c r="H683">
        <v>97198.313039771427</v>
      </c>
      <c r="I683">
        <v>430981.91170953901</v>
      </c>
      <c r="J683">
        <v>7497886.02821586</v>
      </c>
      <c r="K683" s="68">
        <v>8027463.2162068198</v>
      </c>
    </row>
    <row r="684" spans="1:11" x14ac:dyDescent="0.35">
      <c r="A684">
        <v>684</v>
      </c>
      <c r="B684">
        <v>31.943384019607937</v>
      </c>
      <c r="C684">
        <v>1183.4564636521714</v>
      </c>
      <c r="D684">
        <v>2532.5594267818888</v>
      </c>
      <c r="E684">
        <v>6370.4819048791787</v>
      </c>
      <c r="F684">
        <v>13081.111301313336</v>
      </c>
      <c r="G684">
        <v>25491.748600272655</v>
      </c>
      <c r="H684">
        <v>97869.187904968378</v>
      </c>
      <c r="I684">
        <v>431148.39636018727</v>
      </c>
      <c r="J684">
        <v>7498854.3853879673</v>
      </c>
      <c r="K684" s="68">
        <v>8027473.6734229084</v>
      </c>
    </row>
    <row r="685" spans="1:11" x14ac:dyDescent="0.35">
      <c r="A685">
        <v>685</v>
      </c>
      <c r="B685">
        <v>37.795433829427161</v>
      </c>
      <c r="C685">
        <v>1195.6094447173812</v>
      </c>
      <c r="D685">
        <v>2586.9394444769887</v>
      </c>
      <c r="E685">
        <v>6466.6052676576146</v>
      </c>
      <c r="F685">
        <v>13083.155240955317</v>
      </c>
      <c r="G685">
        <v>25499.619667102375</v>
      </c>
      <c r="H685">
        <v>98085.86307487679</v>
      </c>
      <c r="I685">
        <v>431189.68328646757</v>
      </c>
      <c r="J685">
        <v>7502413.9113569446</v>
      </c>
      <c r="K685" s="68">
        <v>8029643.4704953572</v>
      </c>
    </row>
    <row r="686" spans="1:11" x14ac:dyDescent="0.35">
      <c r="A686">
        <v>686</v>
      </c>
      <c r="B686">
        <v>38.908706353728462</v>
      </c>
      <c r="C686">
        <v>1221.8169431387896</v>
      </c>
      <c r="D686">
        <v>2606.5851337566746</v>
      </c>
      <c r="E686">
        <v>6482.4014115204245</v>
      </c>
      <c r="F686">
        <v>13095.729627780176</v>
      </c>
      <c r="G686">
        <v>25731.844831958737</v>
      </c>
      <c r="H686">
        <v>98347.232144843962</v>
      </c>
      <c r="I686">
        <v>432351.21208986227</v>
      </c>
      <c r="J686">
        <v>7504538.0687825102</v>
      </c>
      <c r="K686" s="68">
        <v>8030404.4796051746</v>
      </c>
    </row>
    <row r="687" spans="1:11" x14ac:dyDescent="0.35">
      <c r="A687">
        <v>687</v>
      </c>
      <c r="B687">
        <v>42.829841995515274</v>
      </c>
      <c r="C687">
        <v>1256.7375752137384</v>
      </c>
      <c r="D687">
        <v>2624.0714811778716</v>
      </c>
      <c r="E687">
        <v>6584.4849281217857</v>
      </c>
      <c r="F687">
        <v>13098.394008752981</v>
      </c>
      <c r="G687">
        <v>25888.985132474936</v>
      </c>
      <c r="H687">
        <v>98516.447866933784</v>
      </c>
      <c r="I687">
        <v>432726.45585474937</v>
      </c>
      <c r="J687">
        <v>7507140.8621938201</v>
      </c>
      <c r="K687" s="68">
        <v>8030526.1098084003</v>
      </c>
    </row>
    <row r="688" spans="1:11" x14ac:dyDescent="0.35">
      <c r="A688">
        <v>688</v>
      </c>
      <c r="B688">
        <v>46.478935470284398</v>
      </c>
      <c r="C688">
        <v>1261.0806929815421</v>
      </c>
      <c r="D688">
        <v>2632.6181397041955</v>
      </c>
      <c r="E688">
        <v>6627.6938543722599</v>
      </c>
      <c r="F688">
        <v>13127.415450145732</v>
      </c>
      <c r="G688">
        <v>26023.809573850998</v>
      </c>
      <c r="H688">
        <v>98526.76681890944</v>
      </c>
      <c r="I688">
        <v>433272.42204457353</v>
      </c>
      <c r="J688">
        <v>7507627.4173512813</v>
      </c>
      <c r="K688" s="68">
        <v>8030669.0872090515</v>
      </c>
    </row>
    <row r="689" spans="1:11" x14ac:dyDescent="0.35">
      <c r="A689">
        <v>689</v>
      </c>
      <c r="B689">
        <v>47.118673123796228</v>
      </c>
      <c r="C689">
        <v>1270.2807291231807</v>
      </c>
      <c r="D689">
        <v>2665.6994995671848</v>
      </c>
      <c r="E689">
        <v>6772.2067814658367</v>
      </c>
      <c r="F689">
        <v>13277.935571851238</v>
      </c>
      <c r="G689">
        <v>26039.038004585098</v>
      </c>
      <c r="H689">
        <v>98770.43616195608</v>
      </c>
      <c r="I689">
        <v>433498.11310083896</v>
      </c>
      <c r="J689">
        <v>7508237.097066842</v>
      </c>
      <c r="K689" s="68">
        <v>8030939.743765492</v>
      </c>
    </row>
    <row r="690" spans="1:11" x14ac:dyDescent="0.35">
      <c r="A690">
        <v>690</v>
      </c>
      <c r="B690">
        <v>53.167028152361389</v>
      </c>
      <c r="C690">
        <v>1293.7031033831045</v>
      </c>
      <c r="D690">
        <v>2666.7019205584506</v>
      </c>
      <c r="E690">
        <v>6815.1568644298732</v>
      </c>
      <c r="F690">
        <v>13292.976685560348</v>
      </c>
      <c r="G690">
        <v>26062.478714421446</v>
      </c>
      <c r="H690">
        <v>99205.944894550761</v>
      </c>
      <c r="I690">
        <v>433952.09538350429</v>
      </c>
      <c r="J690">
        <v>7514317.7843175642</v>
      </c>
      <c r="K690" s="68">
        <v>8031191.9972083755</v>
      </c>
    </row>
    <row r="691" spans="1:11" x14ac:dyDescent="0.35">
      <c r="A691">
        <v>691</v>
      </c>
      <c r="B691">
        <v>54.373665565507309</v>
      </c>
      <c r="C691">
        <v>1311.2306546402829</v>
      </c>
      <c r="D691">
        <v>2687.694603255668</v>
      </c>
      <c r="E691">
        <v>6882.01924607399</v>
      </c>
      <c r="F691">
        <v>13396.346291783753</v>
      </c>
      <c r="G691">
        <v>26132.128898533934</v>
      </c>
      <c r="H691">
        <v>99444.245710315823</v>
      </c>
      <c r="I691">
        <v>433998.27029501728</v>
      </c>
      <c r="J691">
        <v>7514586.0395885417</v>
      </c>
      <c r="K691" s="68">
        <v>8038832.2881968673</v>
      </c>
    </row>
    <row r="692" spans="1:11" x14ac:dyDescent="0.35">
      <c r="A692">
        <v>692</v>
      </c>
      <c r="B692">
        <v>56.08091594123843</v>
      </c>
      <c r="C692">
        <v>1337.8499891354895</v>
      </c>
      <c r="D692">
        <v>2730.0578577810834</v>
      </c>
      <c r="E692">
        <v>7009.3863642339911</v>
      </c>
      <c r="F692">
        <v>13558.822918530575</v>
      </c>
      <c r="G692">
        <v>26220.773278610781</v>
      </c>
      <c r="H692">
        <v>99644.021600531705</v>
      </c>
      <c r="I692">
        <v>434501.3400972308</v>
      </c>
      <c r="J692">
        <v>7519075.8247674387</v>
      </c>
      <c r="K692" s="68">
        <v>8043381.2798844855</v>
      </c>
    </row>
    <row r="693" spans="1:11" x14ac:dyDescent="0.35">
      <c r="A693">
        <v>693</v>
      </c>
      <c r="B693">
        <v>56.45940250300454</v>
      </c>
      <c r="C693">
        <v>1355.9759356839281</v>
      </c>
      <c r="D693">
        <v>2730.8250902868676</v>
      </c>
      <c r="E693">
        <v>7021.0252056539612</v>
      </c>
      <c r="F693">
        <v>13585.795817701412</v>
      </c>
      <c r="G693">
        <v>26259.938491772267</v>
      </c>
      <c r="H693">
        <v>99862.260669022799</v>
      </c>
      <c r="I693">
        <v>434583.48370572441</v>
      </c>
      <c r="J693">
        <v>7519795.4623058792</v>
      </c>
      <c r="K693" s="68">
        <v>8044096.6598436646</v>
      </c>
    </row>
    <row r="694" spans="1:11" x14ac:dyDescent="0.35">
      <c r="A694">
        <v>694</v>
      </c>
      <c r="B694">
        <v>57.995658011513804</v>
      </c>
      <c r="C694">
        <v>1406.150990568218</v>
      </c>
      <c r="D694">
        <v>2735.191304534022</v>
      </c>
      <c r="E694">
        <v>7055.7333151308658</v>
      </c>
      <c r="F694">
        <v>13599.467915062562</v>
      </c>
      <c r="G694">
        <v>26301.226007875041</v>
      </c>
      <c r="H694">
        <v>99958.606794656051</v>
      </c>
      <c r="I694">
        <v>434599.04723805591</v>
      </c>
      <c r="J694">
        <v>7520836.4639383703</v>
      </c>
      <c r="K694" s="68">
        <v>8046634.8974149944</v>
      </c>
    </row>
    <row r="695" spans="1:11" x14ac:dyDescent="0.35">
      <c r="A695">
        <v>695</v>
      </c>
      <c r="B695">
        <v>60.520903144630175</v>
      </c>
      <c r="C695">
        <v>1414.4142288708501</v>
      </c>
      <c r="D695">
        <v>2744.6565817800056</v>
      </c>
      <c r="E695">
        <v>7174.6598714085394</v>
      </c>
      <c r="F695">
        <v>13608.659970754868</v>
      </c>
      <c r="G695">
        <v>26313.076067124566</v>
      </c>
      <c r="H695">
        <v>100054.32751781342</v>
      </c>
      <c r="I695">
        <v>435370.04169044114</v>
      </c>
      <c r="J695">
        <v>7520899.3254626086</v>
      </c>
      <c r="K695" s="68">
        <v>8046904.4058679491</v>
      </c>
    </row>
    <row r="696" spans="1:11" x14ac:dyDescent="0.35">
      <c r="A696">
        <v>696</v>
      </c>
      <c r="B696">
        <v>67.330985409077314</v>
      </c>
      <c r="C696">
        <v>1414.5667128090813</v>
      </c>
      <c r="D696">
        <v>2895.4609818293507</v>
      </c>
      <c r="E696">
        <v>7303.6354627135015</v>
      </c>
      <c r="F696">
        <v>13692.057339056546</v>
      </c>
      <c r="G696">
        <v>26792.722390407012</v>
      </c>
      <c r="H696">
        <v>100266.60834401299</v>
      </c>
      <c r="I696">
        <v>435391.71938435175</v>
      </c>
      <c r="J696">
        <v>7521892.5889200876</v>
      </c>
      <c r="K696" s="68">
        <v>8052787.757438181</v>
      </c>
    </row>
    <row r="697" spans="1:11" x14ac:dyDescent="0.35">
      <c r="A697">
        <v>697</v>
      </c>
      <c r="B697">
        <v>68.08883340852671</v>
      </c>
      <c r="C697">
        <v>1431.4718350127391</v>
      </c>
      <c r="D697">
        <v>2904.4971096399463</v>
      </c>
      <c r="E697">
        <v>7306.0580737264081</v>
      </c>
      <c r="F697">
        <v>13836.283473380692</v>
      </c>
      <c r="G697">
        <v>26880.27607024512</v>
      </c>
      <c r="H697">
        <v>100762.01688178972</v>
      </c>
      <c r="I697">
        <v>435819.14695942245</v>
      </c>
      <c r="J697">
        <v>7522631.2047422454</v>
      </c>
      <c r="K697" s="68">
        <v>8053230.3161692731</v>
      </c>
    </row>
    <row r="698" spans="1:11" x14ac:dyDescent="0.35">
      <c r="A698">
        <v>698</v>
      </c>
      <c r="B698">
        <v>71.192710955184211</v>
      </c>
      <c r="C698">
        <v>1448.5602400825562</v>
      </c>
      <c r="D698">
        <v>2933.7445115030123</v>
      </c>
      <c r="E698">
        <v>7413.4042823300333</v>
      </c>
      <c r="F698">
        <v>13865.058940747858</v>
      </c>
      <c r="G698">
        <v>26998.041817722344</v>
      </c>
      <c r="H698">
        <v>100917.4429409907</v>
      </c>
      <c r="I698">
        <v>436134.61417810351</v>
      </c>
      <c r="J698">
        <v>7527463.2740609646</v>
      </c>
      <c r="K698" s="68">
        <v>8055225.5700848764</v>
      </c>
    </row>
    <row r="699" spans="1:11" x14ac:dyDescent="0.35">
      <c r="A699">
        <v>699</v>
      </c>
      <c r="B699">
        <v>74.967082949808216</v>
      </c>
      <c r="C699">
        <v>1450.1416562759212</v>
      </c>
      <c r="D699">
        <v>2975.044602898749</v>
      </c>
      <c r="E699">
        <v>7438.8930791133498</v>
      </c>
      <c r="F699">
        <v>13870.099610080068</v>
      </c>
      <c r="G699">
        <v>27046.687830554583</v>
      </c>
      <c r="H699">
        <v>101221.38304536368</v>
      </c>
      <c r="I699">
        <v>436241.4763098706</v>
      </c>
      <c r="J699">
        <v>7534211.1972219832</v>
      </c>
      <c r="K699" s="68">
        <v>8056146.7598985881</v>
      </c>
    </row>
    <row r="700" spans="1:11" x14ac:dyDescent="0.35">
      <c r="A700">
        <v>700</v>
      </c>
      <c r="B700">
        <v>77.115955628205299</v>
      </c>
      <c r="C700">
        <v>1485.8992281919566</v>
      </c>
      <c r="D700">
        <v>2996.9207998493061</v>
      </c>
      <c r="E700">
        <v>7496.2205094427263</v>
      </c>
      <c r="F700">
        <v>13966.789745836226</v>
      </c>
      <c r="G700">
        <v>27241.956610568726</v>
      </c>
      <c r="H700">
        <v>101360.00042972069</v>
      </c>
      <c r="I700">
        <v>437159.8623450367</v>
      </c>
      <c r="J700">
        <v>7534750.9596976861</v>
      </c>
      <c r="K700" s="68">
        <v>8056387.9850184862</v>
      </c>
    </row>
    <row r="701" spans="1:11" x14ac:dyDescent="0.35">
      <c r="A701">
        <v>701</v>
      </c>
      <c r="B701">
        <v>77.413532845526063</v>
      </c>
      <c r="C701">
        <v>1497.7651988046919</v>
      </c>
      <c r="D701">
        <v>3035.9307223645374</v>
      </c>
      <c r="E701">
        <v>7650.0229701241515</v>
      </c>
      <c r="F701">
        <v>14011.64030028559</v>
      </c>
      <c r="G701">
        <v>27310.712819270499</v>
      </c>
      <c r="H701">
        <v>101529.00040924038</v>
      </c>
      <c r="I701">
        <v>437189.72604796739</v>
      </c>
      <c r="J701">
        <v>7536432.9249794092</v>
      </c>
      <c r="K701" s="68">
        <v>8058113.9123908328</v>
      </c>
    </row>
    <row r="702" spans="1:11" x14ac:dyDescent="0.35">
      <c r="A702">
        <v>702</v>
      </c>
      <c r="B702">
        <v>78.027443288048161</v>
      </c>
      <c r="C702">
        <v>1611.3469868738559</v>
      </c>
      <c r="D702">
        <v>3064.5184022416383</v>
      </c>
      <c r="E702">
        <v>7660.3545741036396</v>
      </c>
      <c r="F702">
        <v>14014.285438383562</v>
      </c>
      <c r="G702">
        <v>27334.429341946001</v>
      </c>
      <c r="H702">
        <v>101600.31381794591</v>
      </c>
      <c r="I702">
        <v>437574.62108598748</v>
      </c>
      <c r="J702">
        <v>7536480.9627947817</v>
      </c>
      <c r="K702" s="68">
        <v>8059633.9048244478</v>
      </c>
    </row>
    <row r="703" spans="1:11" x14ac:dyDescent="0.35">
      <c r="A703">
        <v>703</v>
      </c>
      <c r="B703">
        <v>79.260104646647321</v>
      </c>
      <c r="C703">
        <v>1638.789374802335</v>
      </c>
      <c r="D703">
        <v>3104.7628533836246</v>
      </c>
      <c r="E703">
        <v>7716.7676730685662</v>
      </c>
      <c r="F703">
        <v>14157.75301255563</v>
      </c>
      <c r="G703">
        <v>27590.608021757344</v>
      </c>
      <c r="H703">
        <v>101601.64658850801</v>
      </c>
      <c r="I703">
        <v>437656.33861435123</v>
      </c>
      <c r="J703">
        <v>7538151.4846037254</v>
      </c>
      <c r="K703" s="68">
        <v>8062149.1538942996</v>
      </c>
    </row>
    <row r="704" spans="1:11" x14ac:dyDescent="0.35">
      <c r="A704">
        <v>704</v>
      </c>
      <c r="B704">
        <v>81.962857517516198</v>
      </c>
      <c r="C704">
        <v>1657.0245939849315</v>
      </c>
      <c r="D704">
        <v>3173.109053055573</v>
      </c>
      <c r="E704">
        <v>7819.4667826707664</v>
      </c>
      <c r="F704">
        <v>14175.014023608184</v>
      </c>
      <c r="G704">
        <v>27759.366663103523</v>
      </c>
      <c r="H704">
        <v>101845.33354062837</v>
      </c>
      <c r="I704">
        <v>438074.30333855056</v>
      </c>
      <c r="J704">
        <v>7538621.6446093712</v>
      </c>
      <c r="K704" s="68">
        <v>8064968.3592171008</v>
      </c>
    </row>
    <row r="705" spans="1:11" x14ac:dyDescent="0.35">
      <c r="A705">
        <v>705</v>
      </c>
      <c r="B705">
        <v>84.545896798381648</v>
      </c>
      <c r="C705">
        <v>1688.0813985568968</v>
      </c>
      <c r="D705">
        <v>3203.2738351485091</v>
      </c>
      <c r="E705">
        <v>7919.0500094804102</v>
      </c>
      <c r="F705">
        <v>14250.158562955969</v>
      </c>
      <c r="G705">
        <v>27764.057065119581</v>
      </c>
      <c r="H705">
        <v>101900.84620488044</v>
      </c>
      <c r="I705">
        <v>438139.85038664436</v>
      </c>
      <c r="J705">
        <v>7539208.0978221186</v>
      </c>
      <c r="K705" s="68">
        <v>8065073.8614851097</v>
      </c>
    </row>
    <row r="706" spans="1:11" x14ac:dyDescent="0.35">
      <c r="A706">
        <v>706</v>
      </c>
      <c r="B706">
        <v>85.218654763295547</v>
      </c>
      <c r="C706">
        <v>1711.1553770327353</v>
      </c>
      <c r="D706">
        <v>3204.0660220709947</v>
      </c>
      <c r="E706">
        <v>8093.4064612270304</v>
      </c>
      <c r="F706">
        <v>14316.019389996414</v>
      </c>
      <c r="G706">
        <v>27945.426373623079</v>
      </c>
      <c r="H706">
        <v>101913.23945609736</v>
      </c>
      <c r="I706">
        <v>438372.71227446175</v>
      </c>
      <c r="J706">
        <v>7541438.0120381704</v>
      </c>
      <c r="K706" s="68">
        <v>8065641.3548277505</v>
      </c>
    </row>
    <row r="707" spans="1:11" x14ac:dyDescent="0.35">
      <c r="A707">
        <v>707</v>
      </c>
      <c r="B707">
        <v>95.066815703167237</v>
      </c>
      <c r="C707">
        <v>1761.0849020419553</v>
      </c>
      <c r="D707">
        <v>3205.4606752094014</v>
      </c>
      <c r="E707">
        <v>8170.4640266645056</v>
      </c>
      <c r="F707">
        <v>14327.155173193532</v>
      </c>
      <c r="G707">
        <v>27976.041829561698</v>
      </c>
      <c r="H707">
        <v>102099.74736443287</v>
      </c>
      <c r="I707">
        <v>438552.82013678702</v>
      </c>
      <c r="J707">
        <v>7542514.1164544746</v>
      </c>
      <c r="K707" s="68">
        <v>8066838.5228797719</v>
      </c>
    </row>
    <row r="708" spans="1:11" x14ac:dyDescent="0.35">
      <c r="A708">
        <v>708</v>
      </c>
      <c r="B708">
        <v>95.495308206557283</v>
      </c>
      <c r="C708">
        <v>1762.3550499721973</v>
      </c>
      <c r="D708">
        <v>3251.4429883562357</v>
      </c>
      <c r="E708">
        <v>8178.1648610407847</v>
      </c>
      <c r="F708">
        <v>14413.55636408608</v>
      </c>
      <c r="G708">
        <v>27983.348534887595</v>
      </c>
      <c r="H708">
        <v>102336.27828838657</v>
      </c>
      <c r="I708">
        <v>438701.7855018964</v>
      </c>
      <c r="J708">
        <v>7542638.9599561058</v>
      </c>
      <c r="K708" s="68">
        <v>8068723.9359971471</v>
      </c>
    </row>
    <row r="709" spans="1:11" x14ac:dyDescent="0.35">
      <c r="A709">
        <v>709</v>
      </c>
      <c r="B709">
        <v>95.98571171064566</v>
      </c>
      <c r="C709">
        <v>1784.0727622373854</v>
      </c>
      <c r="D709">
        <v>3288.5341014431042</v>
      </c>
      <c r="E709">
        <v>8202.6862074532673</v>
      </c>
      <c r="F709">
        <v>14463.432028928131</v>
      </c>
      <c r="G709">
        <v>28160.917533500149</v>
      </c>
      <c r="H709">
        <v>102583.96479900352</v>
      </c>
      <c r="I709">
        <v>439087.31136178755</v>
      </c>
      <c r="J709">
        <v>7544153.2203477668</v>
      </c>
      <c r="K709" s="68">
        <v>8069617.3333007246</v>
      </c>
    </row>
    <row r="710" spans="1:11" x14ac:dyDescent="0.35">
      <c r="A710">
        <v>710</v>
      </c>
      <c r="B710">
        <v>96.654617682705663</v>
      </c>
      <c r="C710">
        <v>1797.7680382800506</v>
      </c>
      <c r="D710">
        <v>3326.1577057791969</v>
      </c>
      <c r="E710">
        <v>8325.5158009992374</v>
      </c>
      <c r="F710">
        <v>14547.385525848827</v>
      </c>
      <c r="G710">
        <v>28272.414612442019</v>
      </c>
      <c r="H710">
        <v>102599.38636967882</v>
      </c>
      <c r="I710">
        <v>439418.63371043868</v>
      </c>
      <c r="J710">
        <v>7545826.6696871184</v>
      </c>
      <c r="K710" s="68">
        <v>8070428.5550513081</v>
      </c>
    </row>
    <row r="711" spans="1:11" x14ac:dyDescent="0.35">
      <c r="A711">
        <v>711</v>
      </c>
      <c r="B711">
        <v>113.19438685373792</v>
      </c>
      <c r="C711">
        <v>1824.2664769423834</v>
      </c>
      <c r="D711">
        <v>3385.8663229036297</v>
      </c>
      <c r="E711">
        <v>8386.7379990383142</v>
      </c>
      <c r="F711">
        <v>14553.200073739854</v>
      </c>
      <c r="G711">
        <v>28443.472773631383</v>
      </c>
      <c r="H711">
        <v>102607.67323148112</v>
      </c>
      <c r="I711">
        <v>439486.43697469769</v>
      </c>
      <c r="J711">
        <v>7546338.5414039958</v>
      </c>
      <c r="K711" s="68">
        <v>8075762.6752821347</v>
      </c>
    </row>
    <row r="712" spans="1:11" x14ac:dyDescent="0.35">
      <c r="A712">
        <v>712</v>
      </c>
      <c r="B712">
        <v>117.24133631509181</v>
      </c>
      <c r="C712">
        <v>1825.1672397417778</v>
      </c>
      <c r="D712">
        <v>3414.4509977726179</v>
      </c>
      <c r="E712">
        <v>8645.533372463553</v>
      </c>
      <c r="F712">
        <v>14613.949923552391</v>
      </c>
      <c r="G712">
        <v>28654.425221323618</v>
      </c>
      <c r="H712">
        <v>102618.46580178088</v>
      </c>
      <c r="I712">
        <v>439887.33238726377</v>
      </c>
      <c r="J712">
        <v>7546355.3275199076</v>
      </c>
      <c r="K712" s="68">
        <v>8076246.0572032481</v>
      </c>
    </row>
    <row r="713" spans="1:11" x14ac:dyDescent="0.35">
      <c r="A713">
        <v>713</v>
      </c>
      <c r="B713">
        <v>123.01611186589751</v>
      </c>
      <c r="C713">
        <v>1846.4046935794565</v>
      </c>
      <c r="D713">
        <v>3431.3867293089024</v>
      </c>
      <c r="E713">
        <v>8679.349793714151</v>
      </c>
      <c r="F713">
        <v>14713.100570147615</v>
      </c>
      <c r="G713">
        <v>28733.373174312899</v>
      </c>
      <c r="H713">
        <v>102764.6735405651</v>
      </c>
      <c r="I713">
        <v>440116.65426993481</v>
      </c>
      <c r="J713">
        <v>7549159.8566091787</v>
      </c>
      <c r="K713" s="68">
        <v>8076439.010846734</v>
      </c>
    </row>
    <row r="714" spans="1:11" x14ac:dyDescent="0.35">
      <c r="A714">
        <v>714</v>
      </c>
      <c r="B714">
        <v>125.22967745615324</v>
      </c>
      <c r="C714">
        <v>1864.6440153965573</v>
      </c>
      <c r="D714">
        <v>3495.0262466671538</v>
      </c>
      <c r="E714">
        <v>8701.0051494505515</v>
      </c>
      <c r="F714">
        <v>14728.92048539498</v>
      </c>
      <c r="G714">
        <v>28882.665250506288</v>
      </c>
      <c r="H714">
        <v>103033.84109695574</v>
      </c>
      <c r="I714">
        <v>440847.12788624805</v>
      </c>
      <c r="J714">
        <v>7550126.708977418</v>
      </c>
      <c r="K714" s="68">
        <v>8081859.0415979773</v>
      </c>
    </row>
    <row r="715" spans="1:11" x14ac:dyDescent="0.35">
      <c r="A715">
        <v>715</v>
      </c>
      <c r="B715">
        <v>128.20314247236215</v>
      </c>
      <c r="C715">
        <v>1925.9309961234167</v>
      </c>
      <c r="D715">
        <v>3528.2551885181742</v>
      </c>
      <c r="E715">
        <v>8715.2921228636169</v>
      </c>
      <c r="F715">
        <v>14828.895917887585</v>
      </c>
      <c r="G715">
        <v>28959.416302720318</v>
      </c>
      <c r="H715">
        <v>103628.71476335828</v>
      </c>
      <c r="I715">
        <v>441134.20211215474</v>
      </c>
      <c r="J715">
        <v>7552024.5453539379</v>
      </c>
      <c r="K715" s="68">
        <v>8082280.6162749454</v>
      </c>
    </row>
    <row r="716" spans="1:11" x14ac:dyDescent="0.35">
      <c r="A716">
        <v>716</v>
      </c>
      <c r="B716">
        <v>129.87177607509858</v>
      </c>
      <c r="C716">
        <v>1993.8638589039313</v>
      </c>
      <c r="D716">
        <v>3543.633696538096</v>
      </c>
      <c r="E716">
        <v>8756.8859907396782</v>
      </c>
      <c r="F716">
        <v>15030.010035802679</v>
      </c>
      <c r="G716">
        <v>28980.054118349362</v>
      </c>
      <c r="H716">
        <v>103690.44989391579</v>
      </c>
      <c r="I716">
        <v>441294.9413612418</v>
      </c>
      <c r="J716">
        <v>7554520.5850098925</v>
      </c>
      <c r="K716" s="68">
        <v>8083238.3767072856</v>
      </c>
    </row>
    <row r="717" spans="1:11" x14ac:dyDescent="0.35">
      <c r="A717">
        <v>717</v>
      </c>
      <c r="B717">
        <v>131.1995519282107</v>
      </c>
      <c r="C717">
        <v>2018.6649673284248</v>
      </c>
      <c r="D717">
        <v>3547.5944464343497</v>
      </c>
      <c r="E717">
        <v>8777.2833924639181</v>
      </c>
      <c r="F717">
        <v>15067.121800487883</v>
      </c>
      <c r="G717">
        <v>29183.692641499078</v>
      </c>
      <c r="H717">
        <v>104116.35582673136</v>
      </c>
      <c r="I717">
        <v>443335.43669902353</v>
      </c>
      <c r="J717">
        <v>7555553.629611942</v>
      </c>
      <c r="K717" s="68">
        <v>8083256.566559935</v>
      </c>
    </row>
    <row r="718" spans="1:11" x14ac:dyDescent="0.35">
      <c r="A718">
        <v>718</v>
      </c>
      <c r="B718">
        <v>134.44003794805758</v>
      </c>
      <c r="C718">
        <v>2108.9263154351188</v>
      </c>
      <c r="D718">
        <v>3617.1098259117375</v>
      </c>
      <c r="E718">
        <v>8856.6271914674489</v>
      </c>
      <c r="F718">
        <v>15266.848328266269</v>
      </c>
      <c r="G718">
        <v>29196.635033508548</v>
      </c>
      <c r="H718">
        <v>104226.99628864232</v>
      </c>
      <c r="I718">
        <v>443689.62842517113</v>
      </c>
      <c r="J718">
        <v>7557965.7203076277</v>
      </c>
      <c r="K718" s="68">
        <v>8085117.8305273624</v>
      </c>
    </row>
    <row r="719" spans="1:11" x14ac:dyDescent="0.35">
      <c r="A719">
        <v>719</v>
      </c>
      <c r="B719">
        <v>139.78251290657758</v>
      </c>
      <c r="C719">
        <v>2128.7591410430014</v>
      </c>
      <c r="D719">
        <v>3661.7500862302809</v>
      </c>
      <c r="E719">
        <v>9136.259593238241</v>
      </c>
      <c r="F719">
        <v>15283.56078993763</v>
      </c>
      <c r="G719">
        <v>29336.158256497893</v>
      </c>
      <c r="H719">
        <v>104282.96930742502</v>
      </c>
      <c r="I719">
        <v>444325.50922630075</v>
      </c>
      <c r="J719">
        <v>7558242.2429659106</v>
      </c>
      <c r="K719" s="68">
        <v>8085582.2167589786</v>
      </c>
    </row>
    <row r="720" spans="1:11" x14ac:dyDescent="0.35">
      <c r="A720">
        <v>720</v>
      </c>
      <c r="B720">
        <v>145.38315373671074</v>
      </c>
      <c r="C720">
        <v>2156.2738583025066</v>
      </c>
      <c r="D720">
        <v>3677.8554879061312</v>
      </c>
      <c r="E720">
        <v>9149.8125716957911</v>
      </c>
      <c r="F720">
        <v>15307.113483340572</v>
      </c>
      <c r="G720">
        <v>29415.630707728822</v>
      </c>
      <c r="H720">
        <v>104629.91300193997</v>
      </c>
      <c r="I720">
        <v>444500.91855897871</v>
      </c>
      <c r="J720">
        <v>7561774.8207533835</v>
      </c>
      <c r="K720" s="68">
        <v>8087838.3954629395</v>
      </c>
    </row>
    <row r="721" spans="1:11" x14ac:dyDescent="0.35">
      <c r="A721">
        <v>721</v>
      </c>
      <c r="B721">
        <v>157.05388688464942</v>
      </c>
      <c r="C721">
        <v>2186.8445435422077</v>
      </c>
      <c r="D721">
        <v>3694.9422182526637</v>
      </c>
      <c r="E721">
        <v>9404.2704881287136</v>
      </c>
      <c r="F721">
        <v>15434.75670009808</v>
      </c>
      <c r="G721">
        <v>29488.229858851242</v>
      </c>
      <c r="H721">
        <v>104832.99533954621</v>
      </c>
      <c r="I721">
        <v>444791.85272329714</v>
      </c>
      <c r="J721">
        <v>7562100.8705557641</v>
      </c>
      <c r="K721" s="68">
        <v>8088287.7672760813</v>
      </c>
    </row>
    <row r="722" spans="1:11" x14ac:dyDescent="0.35">
      <c r="A722">
        <v>722</v>
      </c>
      <c r="B722">
        <v>165.90638425988396</v>
      </c>
      <c r="C722">
        <v>2192.2470665433502</v>
      </c>
      <c r="D722">
        <v>3845.8254891979841</v>
      </c>
      <c r="E722">
        <v>9409.738098861344</v>
      </c>
      <c r="F722">
        <v>15560.176209252899</v>
      </c>
      <c r="G722">
        <v>29513.894413054597</v>
      </c>
      <c r="H722">
        <v>104918.20919075038</v>
      </c>
      <c r="I722">
        <v>444812.01847186731</v>
      </c>
      <c r="J722">
        <v>7564166.0188234122</v>
      </c>
      <c r="K722" s="68">
        <v>8090309.5287403008</v>
      </c>
    </row>
    <row r="723" spans="1:11" x14ac:dyDescent="0.35">
      <c r="A723">
        <v>723</v>
      </c>
      <c r="B723">
        <v>169.61284480030028</v>
      </c>
      <c r="C723">
        <v>2193.1623582705124</v>
      </c>
      <c r="D723">
        <v>3990.6593333859646</v>
      </c>
      <c r="E723">
        <v>9417.0558262095801</v>
      </c>
      <c r="F723">
        <v>15610.237614664356</v>
      </c>
      <c r="G723">
        <v>29801.640893787022</v>
      </c>
      <c r="H723">
        <v>104989.11181523958</v>
      </c>
      <c r="I723">
        <v>445045.7823272557</v>
      </c>
      <c r="J723">
        <v>7564557.4337719101</v>
      </c>
      <c r="K723" s="68">
        <v>8092305.9377596676</v>
      </c>
    </row>
    <row r="724" spans="1:11" x14ac:dyDescent="0.35">
      <c r="A724">
        <v>724</v>
      </c>
      <c r="B724">
        <v>170.11598398478804</v>
      </c>
      <c r="C724">
        <v>2202.2775643512177</v>
      </c>
      <c r="D724">
        <v>4072.2297685789345</v>
      </c>
      <c r="E724">
        <v>9463.7098945575362</v>
      </c>
      <c r="F724">
        <v>15740.03626988633</v>
      </c>
      <c r="G724">
        <v>29820.131915387981</v>
      </c>
      <c r="H724">
        <v>104991.06082802244</v>
      </c>
      <c r="I724">
        <v>445691.29600548767</v>
      </c>
      <c r="J724">
        <v>7565199.2083519977</v>
      </c>
      <c r="K724" s="68">
        <v>8093149.4560809052</v>
      </c>
    </row>
    <row r="725" spans="1:11" x14ac:dyDescent="0.35">
      <c r="A725">
        <v>725</v>
      </c>
      <c r="B725">
        <v>175.89733761280493</v>
      </c>
      <c r="C725">
        <v>2212.5651001332612</v>
      </c>
      <c r="D725">
        <v>4141.1554881543816</v>
      </c>
      <c r="E725">
        <v>9591.0929477631435</v>
      </c>
      <c r="F725">
        <v>15758.36233276651</v>
      </c>
      <c r="G725">
        <v>29947.722579160047</v>
      </c>
      <c r="H725">
        <v>105095.82604900619</v>
      </c>
      <c r="I725">
        <v>447169.08498310763</v>
      </c>
      <c r="J725">
        <v>7566294.7675518887</v>
      </c>
      <c r="K725" s="68">
        <v>8093920.5000151861</v>
      </c>
    </row>
    <row r="726" spans="1:11" x14ac:dyDescent="0.35">
      <c r="A726">
        <v>726</v>
      </c>
      <c r="B726">
        <v>186.68674629511611</v>
      </c>
      <c r="C726">
        <v>2220.7460208486395</v>
      </c>
      <c r="D726">
        <v>4291.2309898577651</v>
      </c>
      <c r="E726">
        <v>9682.6816072895126</v>
      </c>
      <c r="F726">
        <v>15906.844047176161</v>
      </c>
      <c r="G726">
        <v>30007.139083444381</v>
      </c>
      <c r="H726">
        <v>105108.46417660359</v>
      </c>
      <c r="I726">
        <v>447205.19306718931</v>
      </c>
      <c r="J726">
        <v>7567465.2471572151</v>
      </c>
      <c r="K726" s="68">
        <v>8096747.9411082519</v>
      </c>
    </row>
    <row r="727" spans="1:11" x14ac:dyDescent="0.35">
      <c r="A727">
        <v>727</v>
      </c>
      <c r="B727">
        <v>187.61170777991927</v>
      </c>
      <c r="C727">
        <v>2233.2430513517861</v>
      </c>
      <c r="D727">
        <v>4328.8259121347255</v>
      </c>
      <c r="E727">
        <v>9723.5574307500374</v>
      </c>
      <c r="F727">
        <v>16070.130306712337</v>
      </c>
      <c r="G727">
        <v>30275.766280462867</v>
      </c>
      <c r="H727">
        <v>105187.19575662562</v>
      </c>
      <c r="I727">
        <v>447471.71172088868</v>
      </c>
      <c r="J727">
        <v>7570172.5780988168</v>
      </c>
      <c r="K727" s="68">
        <v>8099135.0734829651</v>
      </c>
    </row>
    <row r="728" spans="1:11" x14ac:dyDescent="0.35">
      <c r="A728">
        <v>728</v>
      </c>
      <c r="B728">
        <v>194.35264791807938</v>
      </c>
      <c r="C728">
        <v>2242.5679427288269</v>
      </c>
      <c r="D728">
        <v>4419.978897356169</v>
      </c>
      <c r="E728">
        <v>9807.6913256463522</v>
      </c>
      <c r="F728">
        <v>16106.885585442033</v>
      </c>
      <c r="G728">
        <v>30430.600955081671</v>
      </c>
      <c r="H728">
        <v>105271.71385733933</v>
      </c>
      <c r="I728">
        <v>448077.07208561519</v>
      </c>
      <c r="J728">
        <v>7571254.9811602784</v>
      </c>
      <c r="K728" s="68">
        <v>8103244.0422881711</v>
      </c>
    </row>
    <row r="729" spans="1:11" x14ac:dyDescent="0.35">
      <c r="A729">
        <v>729</v>
      </c>
      <c r="B729">
        <v>201.97894538557134</v>
      </c>
      <c r="C729">
        <v>2289.9159713858498</v>
      </c>
      <c r="D729">
        <v>4466.6249513478706</v>
      </c>
      <c r="E729">
        <v>9832.1449221187231</v>
      </c>
      <c r="F729">
        <v>16274.794314659885</v>
      </c>
      <c r="G729">
        <v>30484.789924931647</v>
      </c>
      <c r="H729">
        <v>105345.84780907103</v>
      </c>
      <c r="I729">
        <v>448360.79975110386</v>
      </c>
      <c r="J729">
        <v>7571599.8606926538</v>
      </c>
      <c r="K729" s="68">
        <v>8107181.4691319317</v>
      </c>
    </row>
    <row r="730" spans="1:11" x14ac:dyDescent="0.35">
      <c r="A730">
        <v>730</v>
      </c>
      <c r="B730">
        <v>218.9720377886884</v>
      </c>
      <c r="C730">
        <v>2383.7559991751982</v>
      </c>
      <c r="D730">
        <v>4478.2789260711743</v>
      </c>
      <c r="E730">
        <v>9927.3117350352422</v>
      </c>
      <c r="F730">
        <v>16360.460821708033</v>
      </c>
      <c r="G730">
        <v>30497.722894535949</v>
      </c>
      <c r="H730">
        <v>105377.36381914641</v>
      </c>
      <c r="I730">
        <v>448468.60968453059</v>
      </c>
      <c r="J730">
        <v>7571681.2691571023</v>
      </c>
      <c r="K730" s="68">
        <v>8112546.4602404293</v>
      </c>
    </row>
    <row r="731" spans="1:11" x14ac:dyDescent="0.35">
      <c r="A731">
        <v>731</v>
      </c>
      <c r="B731">
        <v>222.20694735002289</v>
      </c>
      <c r="C731">
        <v>2412.0984974882181</v>
      </c>
      <c r="D731">
        <v>4519.163625391524</v>
      </c>
      <c r="E731">
        <v>9932.1317211618134</v>
      </c>
      <c r="F731">
        <v>16422.814969615822</v>
      </c>
      <c r="G731">
        <v>30575.159295781872</v>
      </c>
      <c r="H731">
        <v>105408.48891340142</v>
      </c>
      <c r="I731">
        <v>448487.04059873987</v>
      </c>
      <c r="J731">
        <v>7571891.1659076409</v>
      </c>
      <c r="K731" s="68">
        <v>8114150.6484012967</v>
      </c>
    </row>
    <row r="732" spans="1:11" x14ac:dyDescent="0.35">
      <c r="A732">
        <v>732</v>
      </c>
      <c r="B732">
        <v>239.16340015575031</v>
      </c>
      <c r="C732">
        <v>2466.767462638888</v>
      </c>
      <c r="D732">
        <v>4525.1578634240059</v>
      </c>
      <c r="E732">
        <v>10052.08476502329</v>
      </c>
      <c r="F732">
        <v>16577.869205173862</v>
      </c>
      <c r="G732">
        <v>30652.218467577804</v>
      </c>
      <c r="H732">
        <v>105459.78842717363</v>
      </c>
      <c r="I732">
        <v>448964.92718019575</v>
      </c>
      <c r="J732">
        <v>7573490.7188155064</v>
      </c>
      <c r="K732" s="68">
        <v>8114649.1687511913</v>
      </c>
    </row>
    <row r="733" spans="1:11" x14ac:dyDescent="0.35">
      <c r="A733">
        <v>733</v>
      </c>
      <c r="B733">
        <v>240.13051131271172</v>
      </c>
      <c r="C733">
        <v>2532.949265330456</v>
      </c>
      <c r="D733">
        <v>4561.140889141072</v>
      </c>
      <c r="E733">
        <v>10141.021694682055</v>
      </c>
      <c r="F733">
        <v>16599.681975972537</v>
      </c>
      <c r="G733">
        <v>30679.581620398705</v>
      </c>
      <c r="H733">
        <v>105733.79092636591</v>
      </c>
      <c r="I733">
        <v>449011.14349996694</v>
      </c>
      <c r="J733">
        <v>7575972.1722586714</v>
      </c>
      <c r="K733" s="68">
        <v>8114836.4459300824</v>
      </c>
    </row>
    <row r="734" spans="1:11" x14ac:dyDescent="0.35">
      <c r="A734">
        <v>734</v>
      </c>
      <c r="B734">
        <v>243.25728127641156</v>
      </c>
      <c r="C734">
        <v>2566.6741939293524</v>
      </c>
      <c r="D734">
        <v>4604.4191061803358</v>
      </c>
      <c r="E734">
        <v>10141.035374060046</v>
      </c>
      <c r="F734">
        <v>16713.384370650831</v>
      </c>
      <c r="G734">
        <v>30793.082961739699</v>
      </c>
      <c r="H734">
        <v>106224.76787130226</v>
      </c>
      <c r="I734">
        <v>449036.00106232543</v>
      </c>
      <c r="J734">
        <v>7576781.2052836465</v>
      </c>
      <c r="K734" s="68">
        <v>8115445.9516163897</v>
      </c>
    </row>
    <row r="735" spans="1:11" x14ac:dyDescent="0.35">
      <c r="A735">
        <v>735</v>
      </c>
      <c r="B735">
        <v>258.1064209136851</v>
      </c>
      <c r="C735">
        <v>2588.6904132922173</v>
      </c>
      <c r="D735">
        <v>4685.7590317808608</v>
      </c>
      <c r="E735">
        <v>10158.502892900175</v>
      </c>
      <c r="F735">
        <v>16726.29623203466</v>
      </c>
      <c r="G735">
        <v>30818.256978794307</v>
      </c>
      <c r="H735">
        <v>106619.79202104022</v>
      </c>
      <c r="I735">
        <v>449063.07672227093</v>
      </c>
      <c r="J735">
        <v>7576900.1160444757</v>
      </c>
      <c r="K735" s="68">
        <v>8120276.5259709498</v>
      </c>
    </row>
    <row r="736" spans="1:11" x14ac:dyDescent="0.35">
      <c r="A736">
        <v>736</v>
      </c>
      <c r="B736">
        <v>265.97112018823259</v>
      </c>
      <c r="C736">
        <v>2676.3805749773951</v>
      </c>
      <c r="D736">
        <v>4707.9006332591553</v>
      </c>
      <c r="E736">
        <v>10349.469284856039</v>
      </c>
      <c r="F736">
        <v>16747.834816265924</v>
      </c>
      <c r="G736">
        <v>30886.593844568531</v>
      </c>
      <c r="H736">
        <v>107054.69279042681</v>
      </c>
      <c r="I736">
        <v>449358.74059433921</v>
      </c>
      <c r="J736">
        <v>7577222.9226744054</v>
      </c>
      <c r="K736" s="68">
        <v>8121407.3594990447</v>
      </c>
    </row>
    <row r="737" spans="1:11" x14ac:dyDescent="0.35">
      <c r="A737">
        <v>737</v>
      </c>
      <c r="B737">
        <v>267.24218020901264</v>
      </c>
      <c r="C737">
        <v>2717.2907652169288</v>
      </c>
      <c r="D737">
        <v>4732.207494848436</v>
      </c>
      <c r="E737">
        <v>10400.147016512215</v>
      </c>
      <c r="F737">
        <v>16777.44354277317</v>
      </c>
      <c r="G737">
        <v>30938.380001965346</v>
      </c>
      <c r="H737">
        <v>107450.79155811379</v>
      </c>
      <c r="I737">
        <v>449672.24263041851</v>
      </c>
      <c r="J737">
        <v>7579257.2473164983</v>
      </c>
      <c r="K737" s="68">
        <v>8121892.8872679668</v>
      </c>
    </row>
    <row r="738" spans="1:11" x14ac:dyDescent="0.35">
      <c r="A738">
        <v>738</v>
      </c>
      <c r="B738">
        <v>281.06596477258239</v>
      </c>
      <c r="C738">
        <v>2734.6421148244362</v>
      </c>
      <c r="D738">
        <v>4749.3307325287487</v>
      </c>
      <c r="E738">
        <v>10402.04773329299</v>
      </c>
      <c r="F738">
        <v>16792.48557148315</v>
      </c>
      <c r="G738">
        <v>30983.825295332856</v>
      </c>
      <c r="H738">
        <v>107484.73064612162</v>
      </c>
      <c r="I738">
        <v>449779.36981101515</v>
      </c>
      <c r="J738">
        <v>7580540.8828892708</v>
      </c>
      <c r="K738" s="68">
        <v>8123401.0717676301</v>
      </c>
    </row>
    <row r="739" spans="1:11" x14ac:dyDescent="0.35">
      <c r="A739">
        <v>739</v>
      </c>
      <c r="B739">
        <v>289.19149299060894</v>
      </c>
      <c r="C739">
        <v>2742.0458947979323</v>
      </c>
      <c r="D739">
        <v>4808.7732086143769</v>
      </c>
      <c r="E739">
        <v>10458.374920821523</v>
      </c>
      <c r="F739">
        <v>16917.501431403529</v>
      </c>
      <c r="G739">
        <v>31007.597388320741</v>
      </c>
      <c r="H739">
        <v>107528.82731393883</v>
      </c>
      <c r="I739">
        <v>449985.56407065789</v>
      </c>
      <c r="J739">
        <v>7587577.8518717419</v>
      </c>
      <c r="K739" s="68">
        <v>8125873.7856079061</v>
      </c>
    </row>
    <row r="740" spans="1:11" x14ac:dyDescent="0.35">
      <c r="A740">
        <v>740</v>
      </c>
      <c r="B740">
        <v>290.7547531664917</v>
      </c>
      <c r="C740">
        <v>2746.0982275038987</v>
      </c>
      <c r="D740">
        <v>4865.4795924652608</v>
      </c>
      <c r="E740">
        <v>10499.220398050013</v>
      </c>
      <c r="F740">
        <v>16925.954633309924</v>
      </c>
      <c r="G740">
        <v>31020.080580273359</v>
      </c>
      <c r="H740">
        <v>107578.83689951157</v>
      </c>
      <c r="I740">
        <v>450502.17986961728</v>
      </c>
      <c r="J740">
        <v>7587625.7088120952</v>
      </c>
      <c r="K740" s="68">
        <v>8126223.458592833</v>
      </c>
    </row>
    <row r="741" spans="1:11" x14ac:dyDescent="0.35">
      <c r="A741">
        <v>741</v>
      </c>
      <c r="B741">
        <v>313.3112645504641</v>
      </c>
      <c r="C741">
        <v>2773.2444342707622</v>
      </c>
      <c r="D741">
        <v>5028.4237553309285</v>
      </c>
      <c r="E741">
        <v>10557.042781956139</v>
      </c>
      <c r="F741">
        <v>16926.55668548356</v>
      </c>
      <c r="G741">
        <v>31124.743859813309</v>
      </c>
      <c r="H741">
        <v>107683.44118108902</v>
      </c>
      <c r="I741">
        <v>450628.02311346022</v>
      </c>
      <c r="J741">
        <v>7587739.6043109903</v>
      </c>
      <c r="K741" s="68">
        <v>8126332.371395776</v>
      </c>
    </row>
    <row r="742" spans="1:11" x14ac:dyDescent="0.35">
      <c r="A742">
        <v>742</v>
      </c>
      <c r="B742">
        <v>317.12164299556861</v>
      </c>
      <c r="C742">
        <v>2821.2006442385</v>
      </c>
      <c r="D742">
        <v>5047.1501713453372</v>
      </c>
      <c r="E742">
        <v>10583.201473671241</v>
      </c>
      <c r="F742">
        <v>16955.226282376261</v>
      </c>
      <c r="G742">
        <v>31181.748982571942</v>
      </c>
      <c r="H742">
        <v>107861.37714293526</v>
      </c>
      <c r="I742">
        <v>450726.90495175426</v>
      </c>
      <c r="J742">
        <v>7589043.310544177</v>
      </c>
      <c r="K742" s="68">
        <v>8126449.2464975417</v>
      </c>
    </row>
    <row r="743" spans="1:11" x14ac:dyDescent="0.35">
      <c r="A743">
        <v>743</v>
      </c>
      <c r="B743">
        <v>331.36687518847236</v>
      </c>
      <c r="C743">
        <v>2891.0159612405341</v>
      </c>
      <c r="D743">
        <v>5057.9347131900868</v>
      </c>
      <c r="E743">
        <v>10666.797174289826</v>
      </c>
      <c r="F743">
        <v>16998.751221573344</v>
      </c>
      <c r="G743">
        <v>31196.902937312665</v>
      </c>
      <c r="H743">
        <v>108568.79051130034</v>
      </c>
      <c r="I743">
        <v>451076.16556257068</v>
      </c>
      <c r="J743">
        <v>7589278.2985978005</v>
      </c>
      <c r="K743" s="68">
        <v>8127700.8439202923</v>
      </c>
    </row>
    <row r="744" spans="1:11" x14ac:dyDescent="0.35">
      <c r="A744">
        <v>744</v>
      </c>
      <c r="B744">
        <v>353.46102509684732</v>
      </c>
      <c r="C744">
        <v>2891.9633387724425</v>
      </c>
      <c r="D744">
        <v>5078.2308167030569</v>
      </c>
      <c r="E744">
        <v>10793.073216626464</v>
      </c>
      <c r="F744">
        <v>17017.590266898649</v>
      </c>
      <c r="G744">
        <v>31260.842146937728</v>
      </c>
      <c r="H744">
        <v>108714.47565480744</v>
      </c>
      <c r="I744">
        <v>451363.07692094427</v>
      </c>
      <c r="J744">
        <v>7589579.4531412413</v>
      </c>
      <c r="K744" s="68">
        <v>8128018.9586905483</v>
      </c>
    </row>
    <row r="745" spans="1:11" x14ac:dyDescent="0.35">
      <c r="A745">
        <v>745</v>
      </c>
      <c r="B745">
        <v>373.1600919270964</v>
      </c>
      <c r="C745">
        <v>2909.44743067321</v>
      </c>
      <c r="D745">
        <v>5120.2233485705874</v>
      </c>
      <c r="E745">
        <v>10796.238882027072</v>
      </c>
      <c r="F745">
        <v>17091.317795519972</v>
      </c>
      <c r="G745">
        <v>31324.06023369079</v>
      </c>
      <c r="H745">
        <v>109173.07892984724</v>
      </c>
      <c r="I745">
        <v>451778.97528479894</v>
      </c>
      <c r="J745">
        <v>7591019.2810698412</v>
      </c>
      <c r="K745" s="68">
        <v>8130603.6343596438</v>
      </c>
    </row>
    <row r="746" spans="1:11" x14ac:dyDescent="0.35">
      <c r="A746">
        <v>746</v>
      </c>
      <c r="B746">
        <v>375.31972819437669</v>
      </c>
      <c r="C746">
        <v>2930.4037513192052</v>
      </c>
      <c r="D746">
        <v>5145.4177724550791</v>
      </c>
      <c r="E746">
        <v>11004.246622099903</v>
      </c>
      <c r="F746">
        <v>17125.971864913452</v>
      </c>
      <c r="G746">
        <v>31351.219720343277</v>
      </c>
      <c r="H746">
        <v>109217.77369969439</v>
      </c>
      <c r="I746">
        <v>451811.7861844296</v>
      </c>
      <c r="J746">
        <v>7591119.5961591406</v>
      </c>
      <c r="K746" s="68">
        <v>8130604.1715108017</v>
      </c>
    </row>
    <row r="747" spans="1:11" x14ac:dyDescent="0.35">
      <c r="A747">
        <v>747</v>
      </c>
      <c r="B747">
        <v>394.8286108470985</v>
      </c>
      <c r="C747">
        <v>2956.781361831188</v>
      </c>
      <c r="D747">
        <v>5247.3600575695737</v>
      </c>
      <c r="E747">
        <v>11039.869558038627</v>
      </c>
      <c r="F747">
        <v>17173.083578318496</v>
      </c>
      <c r="G747">
        <v>31501.166472945104</v>
      </c>
      <c r="H747">
        <v>109221.9562584947</v>
      </c>
      <c r="I747">
        <v>452345.15402273188</v>
      </c>
      <c r="J747">
        <v>7593980.3726069843</v>
      </c>
      <c r="K747" s="68">
        <v>8131436.4954819242</v>
      </c>
    </row>
    <row r="748" spans="1:11" x14ac:dyDescent="0.35">
      <c r="A748">
        <v>748</v>
      </c>
      <c r="B748">
        <v>405.64231857337506</v>
      </c>
      <c r="C748">
        <v>2965.6775788104951</v>
      </c>
      <c r="D748">
        <v>5277.7509251530755</v>
      </c>
      <c r="E748">
        <v>11092.925038859274</v>
      </c>
      <c r="F748">
        <v>17272.564158536923</v>
      </c>
      <c r="G748">
        <v>31516.230106025734</v>
      </c>
      <c r="H748">
        <v>109245.70841609543</v>
      </c>
      <c r="I748">
        <v>452375.86509916431</v>
      </c>
      <c r="J748">
        <v>7594734.1531131305</v>
      </c>
      <c r="K748" s="68">
        <v>8131678.1541950125</v>
      </c>
    </row>
    <row r="749" spans="1:11" x14ac:dyDescent="0.35">
      <c r="A749">
        <v>749</v>
      </c>
      <c r="B749">
        <v>412.10928529118036</v>
      </c>
      <c r="C749">
        <v>3033.8506672605945</v>
      </c>
      <c r="D749">
        <v>5325.0639277341397</v>
      </c>
      <c r="E749">
        <v>11255.574025849424</v>
      </c>
      <c r="F749">
        <v>17486.943996853828</v>
      </c>
      <c r="G749">
        <v>31960.466240941143</v>
      </c>
      <c r="H749">
        <v>109388.41706552224</v>
      </c>
      <c r="I749">
        <v>453424.76369358314</v>
      </c>
      <c r="J749">
        <v>7595212.5283029685</v>
      </c>
      <c r="K749" s="68">
        <v>8137025.9214505702</v>
      </c>
    </row>
    <row r="750" spans="1:11" x14ac:dyDescent="0.35">
      <c r="A750">
        <v>750</v>
      </c>
      <c r="B750">
        <v>440.68920189334625</v>
      </c>
      <c r="C750">
        <v>3127.9483836806412</v>
      </c>
      <c r="D750">
        <v>5343.3158081723632</v>
      </c>
      <c r="E750">
        <v>11266.468925181103</v>
      </c>
      <c r="F750">
        <v>17669.296247411712</v>
      </c>
      <c r="G750">
        <v>31970.461979899501</v>
      </c>
      <c r="H750">
        <v>109692.42133067452</v>
      </c>
      <c r="I750">
        <v>453765.66943370813</v>
      </c>
      <c r="J750">
        <v>7598400.3795577837</v>
      </c>
      <c r="K750" s="68">
        <v>8137741.3722595964</v>
      </c>
    </row>
    <row r="751" spans="1:11" x14ac:dyDescent="0.35">
      <c r="A751">
        <v>751</v>
      </c>
      <c r="B751">
        <v>447.95299269262176</v>
      </c>
      <c r="C751">
        <v>3176.4855466960125</v>
      </c>
      <c r="D751">
        <v>5392.5210299778673</v>
      </c>
      <c r="E751">
        <v>11329.85785617458</v>
      </c>
      <c r="F751">
        <v>17687.773195138456</v>
      </c>
      <c r="G751">
        <v>32329.276601448513</v>
      </c>
      <c r="H751">
        <v>109849.37203267073</v>
      </c>
      <c r="I751">
        <v>454698.34844865132</v>
      </c>
      <c r="J751">
        <v>7610811.0274662049</v>
      </c>
      <c r="K751" s="68">
        <v>8140093.0866981791</v>
      </c>
    </row>
    <row r="752" spans="1:11" x14ac:dyDescent="0.35">
      <c r="A752">
        <v>752</v>
      </c>
      <c r="B752">
        <v>456.10085481475096</v>
      </c>
      <c r="C752">
        <v>3179.4706940018809</v>
      </c>
      <c r="D752">
        <v>5395.0765896695484</v>
      </c>
      <c r="E752">
        <v>11506.859410165647</v>
      </c>
      <c r="F752">
        <v>18242.811653476208</v>
      </c>
      <c r="G752">
        <v>32460.753131406062</v>
      </c>
      <c r="H752">
        <v>110530.62339617779</v>
      </c>
      <c r="I752">
        <v>454723.693707984</v>
      </c>
      <c r="J752">
        <v>7612691.2321632504</v>
      </c>
      <c r="K752" s="68">
        <v>8140194.9984704768</v>
      </c>
    </row>
    <row r="753" spans="1:11" x14ac:dyDescent="0.35">
      <c r="A753">
        <v>753</v>
      </c>
      <c r="B753">
        <v>458.01624612662931</v>
      </c>
      <c r="C753">
        <v>3206.1166710582979</v>
      </c>
      <c r="D753">
        <v>5397.3794392021309</v>
      </c>
      <c r="E753">
        <v>11511.6996133845</v>
      </c>
      <c r="F753">
        <v>18276.394657011468</v>
      </c>
      <c r="G753">
        <v>32549.104410839333</v>
      </c>
      <c r="H753">
        <v>110676.1906038773</v>
      </c>
      <c r="I753">
        <v>455055.50206878636</v>
      </c>
      <c r="J753">
        <v>7615201.7529124776</v>
      </c>
      <c r="K753" s="68">
        <v>8140963.4276644103</v>
      </c>
    </row>
    <row r="754" spans="1:11" x14ac:dyDescent="0.35">
      <c r="A754">
        <v>754</v>
      </c>
      <c r="B754">
        <v>459.02444301525992</v>
      </c>
      <c r="C754">
        <v>3322.0113421863143</v>
      </c>
      <c r="D754">
        <v>5440.9591142563695</v>
      </c>
      <c r="E754">
        <v>11531.826092103649</v>
      </c>
      <c r="F754">
        <v>18533.622286396105</v>
      </c>
      <c r="G754">
        <v>32851.137967361981</v>
      </c>
      <c r="H754">
        <v>110915.83480387466</v>
      </c>
      <c r="I754">
        <v>455302.86031935451</v>
      </c>
      <c r="J754">
        <v>7615874.0750170555</v>
      </c>
      <c r="K754" s="68">
        <v>8141631.7266124468</v>
      </c>
    </row>
    <row r="755" spans="1:11" x14ac:dyDescent="0.35">
      <c r="A755">
        <v>755</v>
      </c>
      <c r="B755">
        <v>460.76810362475237</v>
      </c>
      <c r="C755">
        <v>3371.810264324251</v>
      </c>
      <c r="D755">
        <v>5459.4297280553255</v>
      </c>
      <c r="E755">
        <v>11650.685090259696</v>
      </c>
      <c r="F755">
        <v>18584.435365301215</v>
      </c>
      <c r="G755">
        <v>33089.333769757024</v>
      </c>
      <c r="H755">
        <v>111281.47557184502</v>
      </c>
      <c r="I755">
        <v>455390.82949317439</v>
      </c>
      <c r="J755">
        <v>7620728.5550659997</v>
      </c>
      <c r="K755" s="68">
        <v>8142412.5895427559</v>
      </c>
    </row>
    <row r="756" spans="1:11" x14ac:dyDescent="0.35">
      <c r="A756">
        <v>756</v>
      </c>
      <c r="B756">
        <v>462.21834775933303</v>
      </c>
      <c r="C756">
        <v>3464.0035219237393</v>
      </c>
      <c r="D756">
        <v>5529.5836118993666</v>
      </c>
      <c r="E756">
        <v>11672.69989810767</v>
      </c>
      <c r="F756">
        <v>18660.963718805418</v>
      </c>
      <c r="G756">
        <v>33110.585571507174</v>
      </c>
      <c r="H756">
        <v>111356.12594328812</v>
      </c>
      <c r="I756">
        <v>455667.14184347115</v>
      </c>
      <c r="J756">
        <v>7621070.6757006887</v>
      </c>
      <c r="K756" s="68">
        <v>8145259.8465663735</v>
      </c>
    </row>
    <row r="757" spans="1:11" x14ac:dyDescent="0.35">
      <c r="A757">
        <v>757</v>
      </c>
      <c r="B757">
        <v>474.00967125770268</v>
      </c>
      <c r="C757">
        <v>3508.9586095385052</v>
      </c>
      <c r="D757">
        <v>5539.6086698317304</v>
      </c>
      <c r="E757">
        <v>11707.371206771175</v>
      </c>
      <c r="F757">
        <v>18673.016266241295</v>
      </c>
      <c r="G757">
        <v>33112.607092170583</v>
      </c>
      <c r="H757">
        <v>111554.60671375396</v>
      </c>
      <c r="I757">
        <v>455743.06856128067</v>
      </c>
      <c r="J757">
        <v>7621972.6596965315</v>
      </c>
      <c r="K757" s="68">
        <v>8145588.858204484</v>
      </c>
    </row>
    <row r="758" spans="1:11" x14ac:dyDescent="0.35">
      <c r="A758">
        <v>758</v>
      </c>
      <c r="B758">
        <v>487.36554807675321</v>
      </c>
      <c r="C758">
        <v>3556.1702418510777</v>
      </c>
      <c r="D758">
        <v>5570.1642745379659</v>
      </c>
      <c r="E758">
        <v>11837.157008826556</v>
      </c>
      <c r="F758">
        <v>18769.059757399307</v>
      </c>
      <c r="G758">
        <v>33241.123201321199</v>
      </c>
      <c r="H758">
        <v>111678.47542282511</v>
      </c>
      <c r="I758">
        <v>455965.76234370208</v>
      </c>
      <c r="J758">
        <v>7623853.9904183494</v>
      </c>
      <c r="K758" s="68">
        <v>8145665.5736078219</v>
      </c>
    </row>
    <row r="759" spans="1:11" x14ac:dyDescent="0.35">
      <c r="A759">
        <v>759</v>
      </c>
      <c r="B759">
        <v>502.83104131486277</v>
      </c>
      <c r="C759">
        <v>3572.7901653828981</v>
      </c>
      <c r="D759">
        <v>5574.64066913838</v>
      </c>
      <c r="E759">
        <v>11907.390525921339</v>
      </c>
      <c r="F759">
        <v>18789.1541233194</v>
      </c>
      <c r="G759">
        <v>33243.123673534472</v>
      </c>
      <c r="H759">
        <v>112000.28246299938</v>
      </c>
      <c r="I759">
        <v>456659.15712699061</v>
      </c>
      <c r="J759">
        <v>7624356.2830093848</v>
      </c>
      <c r="K759" s="68">
        <v>8145912.381093015</v>
      </c>
    </row>
    <row r="760" spans="1:11" x14ac:dyDescent="0.35">
      <c r="A760">
        <v>760</v>
      </c>
      <c r="B760">
        <v>512.91312776902816</v>
      </c>
      <c r="C760">
        <v>3661.6054370445208</v>
      </c>
      <c r="D760">
        <v>5649.6686203340414</v>
      </c>
      <c r="E760">
        <v>12028.499878676472</v>
      </c>
      <c r="F760">
        <v>18850.445661906924</v>
      </c>
      <c r="G760">
        <v>33404.450434585386</v>
      </c>
      <c r="H760">
        <v>112200.71517554834</v>
      </c>
      <c r="I760">
        <v>456749.92524436628</v>
      </c>
      <c r="J760">
        <v>7625339.9633850446</v>
      </c>
      <c r="K760" s="68">
        <v>8146901.0775232967</v>
      </c>
    </row>
    <row r="761" spans="1:11" x14ac:dyDescent="0.35">
      <c r="A761">
        <v>761</v>
      </c>
      <c r="B761">
        <v>516.77752169733537</v>
      </c>
      <c r="C761">
        <v>3749.5583968572023</v>
      </c>
      <c r="D761">
        <v>5781.2003304608061</v>
      </c>
      <c r="E761">
        <v>12116.041917953202</v>
      </c>
      <c r="F761">
        <v>18886.815023839419</v>
      </c>
      <c r="G761">
        <v>33409.802660578767</v>
      </c>
      <c r="H761">
        <v>112412.69733948562</v>
      </c>
      <c r="I761">
        <v>456885.99763599719</v>
      </c>
      <c r="J761">
        <v>7627081.0940912049</v>
      </c>
      <c r="K761" s="68">
        <v>8149644.2572599724</v>
      </c>
    </row>
    <row r="762" spans="1:11" x14ac:dyDescent="0.35">
      <c r="A762">
        <v>762</v>
      </c>
      <c r="B762">
        <v>520.40725533723025</v>
      </c>
      <c r="C762">
        <v>3794.8953028716523</v>
      </c>
      <c r="D762">
        <v>5806.1160185536355</v>
      </c>
      <c r="E762">
        <v>12135.971751608105</v>
      </c>
      <c r="F762">
        <v>18897.958050371511</v>
      </c>
      <c r="G762">
        <v>33543.108743987963</v>
      </c>
      <c r="H762">
        <v>112593.38111961816</v>
      </c>
      <c r="I762">
        <v>457183.71866119379</v>
      </c>
      <c r="J762">
        <v>7632235.868859061</v>
      </c>
      <c r="K762" s="68">
        <v>8150604.4819496796</v>
      </c>
    </row>
    <row r="763" spans="1:11" x14ac:dyDescent="0.35">
      <c r="A763">
        <v>763</v>
      </c>
      <c r="B763">
        <v>530.43691045986941</v>
      </c>
      <c r="C763">
        <v>3829.3918901056977</v>
      </c>
      <c r="D763">
        <v>5816.2628425369103</v>
      </c>
      <c r="E763">
        <v>12217.456667274639</v>
      </c>
      <c r="F763">
        <v>18988.2538449319</v>
      </c>
      <c r="G763">
        <v>33629.859596025322</v>
      </c>
      <c r="H763">
        <v>112831.30281299865</v>
      </c>
      <c r="I763">
        <v>457201.69938040263</v>
      </c>
      <c r="J763">
        <v>7633726.3382828869</v>
      </c>
      <c r="K763" s="68">
        <v>8156305.9550772104</v>
      </c>
    </row>
    <row r="764" spans="1:11" x14ac:dyDescent="0.35">
      <c r="A764">
        <v>764</v>
      </c>
      <c r="B764">
        <v>551.56524497224746</v>
      </c>
      <c r="C764">
        <v>3835.9212855519745</v>
      </c>
      <c r="D764">
        <v>5870.3622129571813</v>
      </c>
      <c r="E764">
        <v>12337.526579040541</v>
      </c>
      <c r="F764">
        <v>18994.761348563403</v>
      </c>
      <c r="G764">
        <v>33832.305760780117</v>
      </c>
      <c r="H764">
        <v>113108.81474150368</v>
      </c>
      <c r="I764">
        <v>457214.05601742113</v>
      </c>
      <c r="J764">
        <v>7638124.5175036322</v>
      </c>
      <c r="K764" s="68">
        <v>8158188.6443397989</v>
      </c>
    </row>
    <row r="765" spans="1:11" x14ac:dyDescent="0.35">
      <c r="A765">
        <v>765</v>
      </c>
      <c r="B765">
        <v>562.28422005979667</v>
      </c>
      <c r="C765">
        <v>3838.4993576796569</v>
      </c>
      <c r="D765">
        <v>5890.433325901251</v>
      </c>
      <c r="E765">
        <v>12526.138576646521</v>
      </c>
      <c r="F765">
        <v>19125.099193134454</v>
      </c>
      <c r="G765">
        <v>33876.094578787226</v>
      </c>
      <c r="H765">
        <v>113166.05652304833</v>
      </c>
      <c r="I765">
        <v>458970.86564654025</v>
      </c>
      <c r="J765">
        <v>7638290.3532238454</v>
      </c>
      <c r="K765" s="68">
        <v>8163094.7095151069</v>
      </c>
    </row>
    <row r="766" spans="1:11" x14ac:dyDescent="0.35">
      <c r="A766">
        <v>766</v>
      </c>
      <c r="B766">
        <v>567.08387583796343</v>
      </c>
      <c r="C766">
        <v>3953.9954360567608</v>
      </c>
      <c r="D766">
        <v>5948.7121667063138</v>
      </c>
      <c r="E766">
        <v>12529.553924415673</v>
      </c>
      <c r="F766">
        <v>19382.292295474366</v>
      </c>
      <c r="G766">
        <v>34424.203196449205</v>
      </c>
      <c r="H766">
        <v>113304.70085432612</v>
      </c>
      <c r="I766">
        <v>459550.04538845399</v>
      </c>
      <c r="J766">
        <v>7640432.5983413234</v>
      </c>
      <c r="K766" s="68">
        <v>8166183.3919219971</v>
      </c>
    </row>
    <row r="767" spans="1:11" x14ac:dyDescent="0.35">
      <c r="A767">
        <v>767</v>
      </c>
      <c r="B767">
        <v>587.48599179859207</v>
      </c>
      <c r="C767">
        <v>4054.2640543123648</v>
      </c>
      <c r="D767">
        <v>6004.0154605609559</v>
      </c>
      <c r="E767">
        <v>12540.425717249851</v>
      </c>
      <c r="F767">
        <v>19470.634302798386</v>
      </c>
      <c r="G767">
        <v>34581.396755263326</v>
      </c>
      <c r="H767">
        <v>113934.14605190197</v>
      </c>
      <c r="I767">
        <v>460039.545089858</v>
      </c>
      <c r="J767">
        <v>7640992.1356283864</v>
      </c>
      <c r="K767" s="68">
        <v>8170331.9363772301</v>
      </c>
    </row>
    <row r="768" spans="1:11" x14ac:dyDescent="0.35">
      <c r="A768">
        <v>768</v>
      </c>
      <c r="B768">
        <v>593.80678100718694</v>
      </c>
      <c r="C768">
        <v>4118.1009346808096</v>
      </c>
      <c r="D768">
        <v>6033.2816654899971</v>
      </c>
      <c r="E768">
        <v>12833.05570787629</v>
      </c>
      <c r="F768">
        <v>19476.783244385762</v>
      </c>
      <c r="G768">
        <v>34676.280021640719</v>
      </c>
      <c r="H768">
        <v>114008.42721832037</v>
      </c>
      <c r="I768">
        <v>460809.33342463255</v>
      </c>
      <c r="J768">
        <v>7643756.8700495735</v>
      </c>
      <c r="K768" s="68">
        <v>8172079.1167693576</v>
      </c>
    </row>
    <row r="769" spans="1:11" x14ac:dyDescent="0.35">
      <c r="A769">
        <v>769</v>
      </c>
      <c r="B769">
        <v>600.31432938162573</v>
      </c>
      <c r="C769">
        <v>4121.9121010780564</v>
      </c>
      <c r="D769">
        <v>6038.8845901069453</v>
      </c>
      <c r="E769">
        <v>12859.575442642359</v>
      </c>
      <c r="F769">
        <v>19524.429856506256</v>
      </c>
      <c r="G769">
        <v>34690.918522254571</v>
      </c>
      <c r="H769">
        <v>114328.7776852324</v>
      </c>
      <c r="I769">
        <v>461208.55494718044</v>
      </c>
      <c r="J769">
        <v>7655660.1976999082</v>
      </c>
      <c r="K769" s="68">
        <v>8176858.5424698154</v>
      </c>
    </row>
    <row r="770" spans="1:11" x14ac:dyDescent="0.35">
      <c r="A770">
        <v>770</v>
      </c>
      <c r="B770">
        <v>631.76418143600733</v>
      </c>
      <c r="C770">
        <v>4131.9021893324389</v>
      </c>
      <c r="D770">
        <v>6069.0063034156165</v>
      </c>
      <c r="E770">
        <v>12949.316081136349</v>
      </c>
      <c r="F770">
        <v>19528.579564794229</v>
      </c>
      <c r="G770">
        <v>34954.54559510979</v>
      </c>
      <c r="H770">
        <v>114467.32232314888</v>
      </c>
      <c r="I770">
        <v>461259.04422618751</v>
      </c>
      <c r="J770">
        <v>7656607.5761858737</v>
      </c>
      <c r="K770" s="68">
        <v>8177797.6093357904</v>
      </c>
    </row>
    <row r="771" spans="1:11" x14ac:dyDescent="0.35">
      <c r="A771">
        <v>771</v>
      </c>
      <c r="B771">
        <v>695.17488781888244</v>
      </c>
      <c r="C771">
        <v>4153.7589843819169</v>
      </c>
      <c r="D771">
        <v>6155.0810484819876</v>
      </c>
      <c r="E771">
        <v>12997.527854182717</v>
      </c>
      <c r="F771">
        <v>19536.52200157406</v>
      </c>
      <c r="G771">
        <v>35004.89895968468</v>
      </c>
      <c r="H771">
        <v>114567.17024723205</v>
      </c>
      <c r="I771">
        <v>461357.02100978821</v>
      </c>
      <c r="J771">
        <v>7657283.9183071731</v>
      </c>
      <c r="K771" s="68">
        <v>8178245.8048814172</v>
      </c>
    </row>
    <row r="772" spans="1:11" x14ac:dyDescent="0.35">
      <c r="A772">
        <v>772</v>
      </c>
      <c r="B772">
        <v>708.78884949523945</v>
      </c>
      <c r="C772">
        <v>4156.6295392513566</v>
      </c>
      <c r="D772">
        <v>6181.5504025402506</v>
      </c>
      <c r="E772">
        <v>13134.360602729517</v>
      </c>
      <c r="F772">
        <v>19602.814373957353</v>
      </c>
      <c r="G772">
        <v>35525.221633495727</v>
      </c>
      <c r="H772">
        <v>114625.93916202313</v>
      </c>
      <c r="I772">
        <v>461709.95705284923</v>
      </c>
      <c r="J772">
        <v>7660803.1533187917</v>
      </c>
      <c r="K772" s="68">
        <v>8178435.8253447004</v>
      </c>
    </row>
    <row r="773" spans="1:11" x14ac:dyDescent="0.35">
      <c r="A773">
        <v>773</v>
      </c>
      <c r="B773">
        <v>719.71742083865263</v>
      </c>
      <c r="C773">
        <v>4180.0870315839265</v>
      </c>
      <c r="D773">
        <v>6295.023793263711</v>
      </c>
      <c r="E773">
        <v>13318.409937145922</v>
      </c>
      <c r="F773">
        <v>19658.76973699973</v>
      </c>
      <c r="G773">
        <v>35600.578937332524</v>
      </c>
      <c r="H773">
        <v>114770.92992051243</v>
      </c>
      <c r="I773">
        <v>463183.85621102201</v>
      </c>
      <c r="J773">
        <v>7662850.7289349278</v>
      </c>
      <c r="K773" s="68">
        <v>8182553.00554795</v>
      </c>
    </row>
    <row r="774" spans="1:11" x14ac:dyDescent="0.35">
      <c r="A774">
        <v>774</v>
      </c>
      <c r="B774">
        <v>720.27902039338153</v>
      </c>
      <c r="C774">
        <v>4247.3130051789813</v>
      </c>
      <c r="D774">
        <v>6352.7219644956112</v>
      </c>
      <c r="E774">
        <v>13319.98934275763</v>
      </c>
      <c r="F774">
        <v>19669.161867865103</v>
      </c>
      <c r="G774">
        <v>35630.456610330169</v>
      </c>
      <c r="H774">
        <v>114840.86590986114</v>
      </c>
      <c r="I774">
        <v>463588.77461278014</v>
      </c>
      <c r="J774">
        <v>7664568.1296904534</v>
      </c>
      <c r="K774" s="68">
        <v>8183153.9223191254</v>
      </c>
    </row>
    <row r="775" spans="1:11" x14ac:dyDescent="0.35">
      <c r="A775">
        <v>775</v>
      </c>
      <c r="B775">
        <v>776.97213170590896</v>
      </c>
      <c r="C775">
        <v>4272.9227783085425</v>
      </c>
      <c r="D775">
        <v>6404.5018008321949</v>
      </c>
      <c r="E775">
        <v>13407.907032190413</v>
      </c>
      <c r="F775">
        <v>19689.885486286232</v>
      </c>
      <c r="G775">
        <v>35880.047944523278</v>
      </c>
      <c r="H775">
        <v>115223.52801848546</v>
      </c>
      <c r="I775">
        <v>463792.17260525405</v>
      </c>
      <c r="J775">
        <v>7664933.1383108031</v>
      </c>
      <c r="K775" s="68">
        <v>8183783.8668048885</v>
      </c>
    </row>
    <row r="776" spans="1:11" x14ac:dyDescent="0.35">
      <c r="A776">
        <v>776</v>
      </c>
      <c r="B776">
        <v>786.60186800189081</v>
      </c>
      <c r="C776">
        <v>4313.4283092734895</v>
      </c>
      <c r="D776">
        <v>6526.3999927626573</v>
      </c>
      <c r="E776">
        <v>13530.53540401769</v>
      </c>
      <c r="F776">
        <v>19889.29610439613</v>
      </c>
      <c r="G776">
        <v>35943.403462645707</v>
      </c>
      <c r="H776">
        <v>115447.9009305246</v>
      </c>
      <c r="I776">
        <v>463947.04932004213</v>
      </c>
      <c r="J776">
        <v>7666198.9206267828</v>
      </c>
      <c r="K776" s="68">
        <v>8187058.4687761962</v>
      </c>
    </row>
    <row r="777" spans="1:11" x14ac:dyDescent="0.35">
      <c r="A777">
        <v>777</v>
      </c>
      <c r="B777">
        <v>823.68142073529089</v>
      </c>
      <c r="C777">
        <v>4329.1499828676569</v>
      </c>
      <c r="D777">
        <v>6529.3204895451954</v>
      </c>
      <c r="E777">
        <v>13587.943066459235</v>
      </c>
      <c r="F777">
        <v>19901.253659630958</v>
      </c>
      <c r="G777">
        <v>35944.97450598541</v>
      </c>
      <c r="H777">
        <v>115484.19662925156</v>
      </c>
      <c r="I777">
        <v>464413.50777565088</v>
      </c>
      <c r="J777">
        <v>7666745.7787776515</v>
      </c>
      <c r="K777" s="68">
        <v>8191682.3373902086</v>
      </c>
    </row>
    <row r="778" spans="1:11" x14ac:dyDescent="0.35">
      <c r="A778">
        <v>778</v>
      </c>
      <c r="B778">
        <v>829.34564456617204</v>
      </c>
      <c r="C778">
        <v>4383.7447033998933</v>
      </c>
      <c r="D778">
        <v>6560.1077197834757</v>
      </c>
      <c r="E778">
        <v>13608.258942640268</v>
      </c>
      <c r="F778">
        <v>19980.640915844888</v>
      </c>
      <c r="G778">
        <v>35987.406164899578</v>
      </c>
      <c r="H778">
        <v>115741.03805923849</v>
      </c>
      <c r="I778">
        <v>465130.39682569704</v>
      </c>
      <c r="J778">
        <v>7667014.7243432933</v>
      </c>
      <c r="K778" s="68">
        <v>8192114.8101109788</v>
      </c>
    </row>
    <row r="779" spans="1:11" x14ac:dyDescent="0.35">
      <c r="A779">
        <v>779</v>
      </c>
      <c r="B779">
        <v>868.61515793826527</v>
      </c>
      <c r="C779">
        <v>4386.1118017504432</v>
      </c>
      <c r="D779">
        <v>6584.6328133492188</v>
      </c>
      <c r="E779">
        <v>13618.837113168058</v>
      </c>
      <c r="F779">
        <v>20060.956662844026</v>
      </c>
      <c r="G779">
        <v>36346.611696183718</v>
      </c>
      <c r="H779">
        <v>116292.72904015664</v>
      </c>
      <c r="I779">
        <v>465438.94094212551</v>
      </c>
      <c r="J779">
        <v>7667112.6157177314</v>
      </c>
      <c r="K779" s="68">
        <v>8192632.3334568068</v>
      </c>
    </row>
    <row r="780" spans="1:11" x14ac:dyDescent="0.35">
      <c r="A780">
        <v>780</v>
      </c>
      <c r="B780">
        <v>880.40281292821055</v>
      </c>
      <c r="C780">
        <v>4412.2905829901265</v>
      </c>
      <c r="D780">
        <v>6835.4292249979035</v>
      </c>
      <c r="E780">
        <v>13758.546822484892</v>
      </c>
      <c r="F780">
        <v>20323.777248872528</v>
      </c>
      <c r="G780">
        <v>36347.564162161529</v>
      </c>
      <c r="H780">
        <v>116781.69775530099</v>
      </c>
      <c r="I780">
        <v>466359.97483988892</v>
      </c>
      <c r="J780">
        <v>7668058.6383193089</v>
      </c>
      <c r="K780" s="68">
        <v>8196131.2185228849</v>
      </c>
    </row>
    <row r="781" spans="1:11" x14ac:dyDescent="0.35">
      <c r="A781">
        <v>781</v>
      </c>
      <c r="B781">
        <v>910.79504889791428</v>
      </c>
      <c r="C781">
        <v>4439.887913111198</v>
      </c>
      <c r="D781">
        <v>6901.156701414252</v>
      </c>
      <c r="E781">
        <v>13798.818587417003</v>
      </c>
      <c r="F781">
        <v>20653.75668292911</v>
      </c>
      <c r="G781">
        <v>36401.45316692601</v>
      </c>
      <c r="H781">
        <v>117209.70242140966</v>
      </c>
      <c r="I781">
        <v>468179.64813161682</v>
      </c>
      <c r="J781">
        <v>7668287.6723541543</v>
      </c>
      <c r="K781" s="68">
        <v>8197413.480108832</v>
      </c>
    </row>
    <row r="782" spans="1:11" x14ac:dyDescent="0.35">
      <c r="A782">
        <v>782</v>
      </c>
      <c r="B782">
        <v>935.90494797450674</v>
      </c>
      <c r="C782">
        <v>4445.6893561753177</v>
      </c>
      <c r="D782">
        <v>6967.4465040663963</v>
      </c>
      <c r="E782">
        <v>14019.623010292225</v>
      </c>
      <c r="F782">
        <v>20701.00355048498</v>
      </c>
      <c r="G782">
        <v>36659.470553684361</v>
      </c>
      <c r="H782">
        <v>117514.22236972878</v>
      </c>
      <c r="I782">
        <v>470430.18674911594</v>
      </c>
      <c r="J782">
        <v>7668946.7181264963</v>
      </c>
      <c r="K782" s="68">
        <v>8199554.1515927007</v>
      </c>
    </row>
    <row r="783" spans="1:11" x14ac:dyDescent="0.35">
      <c r="A783">
        <v>783</v>
      </c>
      <c r="B783">
        <v>957.19310296790616</v>
      </c>
      <c r="C783">
        <v>4496.3954603030797</v>
      </c>
      <c r="D783">
        <v>6981.7430023727502</v>
      </c>
      <c r="E783">
        <v>14031.03000607903</v>
      </c>
      <c r="F783">
        <v>20733.273350631014</v>
      </c>
      <c r="G783">
        <v>36773.277318524073</v>
      </c>
      <c r="H783">
        <v>117528.25645870731</v>
      </c>
      <c r="I783">
        <v>471019.91607619822</v>
      </c>
      <c r="J783">
        <v>7669035.664716864</v>
      </c>
      <c r="K783" s="68">
        <v>8201459.8596929749</v>
      </c>
    </row>
    <row r="784" spans="1:11" x14ac:dyDescent="0.35">
      <c r="A784">
        <v>784</v>
      </c>
      <c r="B784">
        <v>1040.642348896276</v>
      </c>
      <c r="C784">
        <v>4511.4353181272672</v>
      </c>
      <c r="D784">
        <v>7001.0720988581661</v>
      </c>
      <c r="E784">
        <v>14094.006581994861</v>
      </c>
      <c r="F784">
        <v>20808.576482393266</v>
      </c>
      <c r="G784">
        <v>36892.157521536414</v>
      </c>
      <c r="H784">
        <v>117645.9998203712</v>
      </c>
      <c r="I784">
        <v>471184.86965162941</v>
      </c>
      <c r="J784">
        <v>7670228.3465251261</v>
      </c>
      <c r="K784" s="68">
        <v>8202161.3759526629</v>
      </c>
    </row>
    <row r="785" spans="1:11" x14ac:dyDescent="0.35">
      <c r="A785">
        <v>785</v>
      </c>
      <c r="B785">
        <v>1053.573466780824</v>
      </c>
      <c r="C785">
        <v>4606.7245379515371</v>
      </c>
      <c r="D785">
        <v>7009.7474299091355</v>
      </c>
      <c r="E785">
        <v>14152.934295681405</v>
      </c>
      <c r="F785">
        <v>20861.833799177384</v>
      </c>
      <c r="G785">
        <v>36950.745315205255</v>
      </c>
      <c r="H785">
        <v>117692.99065627634</v>
      </c>
      <c r="I785">
        <v>471258.551008749</v>
      </c>
      <c r="J785">
        <v>7671337.9117702181</v>
      </c>
      <c r="K785" s="68">
        <v>8208183.902197958</v>
      </c>
    </row>
    <row r="786" spans="1:11" x14ac:dyDescent="0.35">
      <c r="A786">
        <v>786</v>
      </c>
      <c r="B786">
        <v>1184.7513203101901</v>
      </c>
      <c r="C786">
        <v>4607.2903974388</v>
      </c>
      <c r="D786">
        <v>7216.5253154881339</v>
      </c>
      <c r="E786">
        <v>14173.413170689561</v>
      </c>
      <c r="F786">
        <v>20870.181124541097</v>
      </c>
      <c r="G786">
        <v>37229.20281461133</v>
      </c>
      <c r="H786">
        <v>118209.65329733159</v>
      </c>
      <c r="I786">
        <v>471831.65437286336</v>
      </c>
      <c r="J786">
        <v>7673522.5955963992</v>
      </c>
      <c r="K786" s="68">
        <v>8209254.1996331876</v>
      </c>
    </row>
    <row r="787" spans="1:11" x14ac:dyDescent="0.35">
      <c r="A787">
        <v>787</v>
      </c>
      <c r="B787">
        <v>1214.5914271635506</v>
      </c>
      <c r="C787">
        <v>4658.212232046707</v>
      </c>
      <c r="D787">
        <v>7293.4607349941198</v>
      </c>
      <c r="E787">
        <v>14288.650006161664</v>
      </c>
      <c r="F787">
        <v>21261.534131425033</v>
      </c>
      <c r="G787">
        <v>37521.844480031337</v>
      </c>
      <c r="H787">
        <v>118277.72608292877</v>
      </c>
      <c r="I787">
        <v>472308.93776221009</v>
      </c>
      <c r="J787">
        <v>7675902.1032137247</v>
      </c>
      <c r="K787" s="68">
        <v>8212654.4632424945</v>
      </c>
    </row>
    <row r="788" spans="1:11" x14ac:dyDescent="0.35">
      <c r="A788">
        <v>788</v>
      </c>
      <c r="B788">
        <v>1352.2718891208806</v>
      </c>
      <c r="C788">
        <v>4701.2415551184058</v>
      </c>
      <c r="D788">
        <v>7350.838269217511</v>
      </c>
      <c r="E788">
        <v>14358.516807682592</v>
      </c>
      <c r="F788">
        <v>21519.474440377409</v>
      </c>
      <c r="G788">
        <v>37774.023121468344</v>
      </c>
      <c r="H788">
        <v>118420.08500783771</v>
      </c>
      <c r="I788">
        <v>472339.07540621952</v>
      </c>
      <c r="J788">
        <v>7680036.4339918066</v>
      </c>
      <c r="K788" s="68">
        <v>8215936.4376071859</v>
      </c>
    </row>
    <row r="789" spans="1:11" x14ac:dyDescent="0.35">
      <c r="A789">
        <v>789</v>
      </c>
      <c r="B789">
        <v>1358.1582871055193</v>
      </c>
      <c r="C789">
        <v>4705.8398080589423</v>
      </c>
      <c r="D789">
        <v>7458.7720107926107</v>
      </c>
      <c r="E789">
        <v>14493.14553690812</v>
      </c>
      <c r="F789">
        <v>21665.824689374196</v>
      </c>
      <c r="G789">
        <v>37845.56538682989</v>
      </c>
      <c r="H789">
        <v>118479.26198477374</v>
      </c>
      <c r="I789">
        <v>472368.35834848793</v>
      </c>
      <c r="J789">
        <v>7680325.1710348679</v>
      </c>
      <c r="K789" s="68">
        <v>8216364.1044066325</v>
      </c>
    </row>
    <row r="790" spans="1:11" x14ac:dyDescent="0.35">
      <c r="A790">
        <v>790</v>
      </c>
      <c r="B790">
        <v>1372.7536099310478</v>
      </c>
      <c r="C790">
        <v>4727.1184437332322</v>
      </c>
      <c r="D790">
        <v>7489.1378175308619</v>
      </c>
      <c r="E790">
        <v>14544.153165367397</v>
      </c>
      <c r="F790">
        <v>21812.30624421949</v>
      </c>
      <c r="G790">
        <v>37877.236685628617</v>
      </c>
      <c r="H790">
        <v>118543.10674922254</v>
      </c>
      <c r="I790">
        <v>472609.8742352777</v>
      </c>
      <c r="J790">
        <v>7680550.8423993336</v>
      </c>
      <c r="K790" s="68">
        <v>8217773.3626112072</v>
      </c>
    </row>
    <row r="791" spans="1:11" x14ac:dyDescent="0.35">
      <c r="A791">
        <v>791</v>
      </c>
      <c r="B791">
        <v>1393.9514392626365</v>
      </c>
      <c r="C791">
        <v>4748.1965068227773</v>
      </c>
      <c r="D791">
        <v>7495.3194374648338</v>
      </c>
      <c r="E791">
        <v>14569.776015820857</v>
      </c>
      <c r="F791">
        <v>21824.295272595547</v>
      </c>
      <c r="G791">
        <v>37935.445375248513</v>
      </c>
      <c r="H791">
        <v>118951.787360338</v>
      </c>
      <c r="I791">
        <v>472645.34044358839</v>
      </c>
      <c r="J791">
        <v>7685591.0998835871</v>
      </c>
      <c r="K791" s="68">
        <v>8218272.8348562587</v>
      </c>
    </row>
    <row r="792" spans="1:11" x14ac:dyDescent="0.35">
      <c r="A792">
        <v>792</v>
      </c>
      <c r="B792">
        <v>1424.9205149029333</v>
      </c>
      <c r="C792">
        <v>4819.3044802600098</v>
      </c>
      <c r="D792">
        <v>7549.9112891922323</v>
      </c>
      <c r="E792">
        <v>14596.217088019481</v>
      </c>
      <c r="F792">
        <v>21894.622150390795</v>
      </c>
      <c r="G792">
        <v>38001.119241439388</v>
      </c>
      <c r="H792">
        <v>118953.50554003155</v>
      </c>
      <c r="I792">
        <v>474080.72727784549</v>
      </c>
      <c r="J792">
        <v>7688250.3798100604</v>
      </c>
      <c r="K792" s="68">
        <v>8221232.4548545722</v>
      </c>
    </row>
    <row r="793" spans="1:11" x14ac:dyDescent="0.35">
      <c r="A793">
        <v>793</v>
      </c>
      <c r="B793">
        <v>1439.6653768306776</v>
      </c>
      <c r="C793">
        <v>4845.5272987257376</v>
      </c>
      <c r="D793">
        <v>7607.5149116499324</v>
      </c>
      <c r="E793">
        <v>14624.700368972062</v>
      </c>
      <c r="F793">
        <v>21971.468190370451</v>
      </c>
      <c r="G793">
        <v>38093.708480285059</v>
      </c>
      <c r="H793">
        <v>119131.9415813657</v>
      </c>
      <c r="I793">
        <v>474263.0833549503</v>
      </c>
      <c r="J793">
        <v>7690061.1706899721</v>
      </c>
      <c r="K793" s="68">
        <v>8221700.5948458156</v>
      </c>
    </row>
    <row r="794" spans="1:11" x14ac:dyDescent="0.35">
      <c r="A794">
        <v>794</v>
      </c>
      <c r="B794">
        <v>1445.1104849734659</v>
      </c>
      <c r="C794">
        <v>4891.4506510596229</v>
      </c>
      <c r="D794">
        <v>7675.8878464161335</v>
      </c>
      <c r="E794">
        <v>15011.386165891716</v>
      </c>
      <c r="F794">
        <v>22143.0603285488</v>
      </c>
      <c r="G794">
        <v>38151.303490720427</v>
      </c>
      <c r="H794">
        <v>119740.71066245914</v>
      </c>
      <c r="I794">
        <v>474502.77567513223</v>
      </c>
      <c r="J794">
        <v>7690209.4354825299</v>
      </c>
      <c r="K794" s="68">
        <v>8226728.4112115819</v>
      </c>
    </row>
    <row r="795" spans="1:11" x14ac:dyDescent="0.35">
      <c r="A795">
        <v>795</v>
      </c>
      <c r="B795">
        <v>1461.8308525929012</v>
      </c>
      <c r="C795">
        <v>4897.5150966696083</v>
      </c>
      <c r="D795">
        <v>7680.7486422374313</v>
      </c>
      <c r="E795">
        <v>15014.726450381275</v>
      </c>
      <c r="F795">
        <v>22168.271966225147</v>
      </c>
      <c r="G795">
        <v>38330.176526983945</v>
      </c>
      <c r="H795">
        <v>120046.81484990763</v>
      </c>
      <c r="I795">
        <v>474632.37820181547</v>
      </c>
      <c r="J795">
        <v>7690954.7546323324</v>
      </c>
      <c r="K795" s="68">
        <v>8227527.5440730462</v>
      </c>
    </row>
    <row r="796" spans="1:11" x14ac:dyDescent="0.35">
      <c r="A796">
        <v>796</v>
      </c>
      <c r="B796">
        <v>1486.630267848622</v>
      </c>
      <c r="C796">
        <v>4951.2736887766714</v>
      </c>
      <c r="D796">
        <v>7775.1721485590106</v>
      </c>
      <c r="E796">
        <v>15097.810626776773</v>
      </c>
      <c r="F796">
        <v>22197.028666844992</v>
      </c>
      <c r="G796">
        <v>38442.631798614413</v>
      </c>
      <c r="H796">
        <v>120455.04048984134</v>
      </c>
      <c r="I796">
        <v>475541.75469395285</v>
      </c>
      <c r="J796">
        <v>7695042.1422120444</v>
      </c>
      <c r="K796" s="68">
        <v>8228022.9107439034</v>
      </c>
    </row>
    <row r="797" spans="1:11" x14ac:dyDescent="0.35">
      <c r="A797">
        <v>797</v>
      </c>
      <c r="B797">
        <v>1549.152163668814</v>
      </c>
      <c r="C797">
        <v>4956.3793010783047</v>
      </c>
      <c r="D797">
        <v>8012.7335680608621</v>
      </c>
      <c r="E797">
        <v>15306.331642074494</v>
      </c>
      <c r="F797">
        <v>22241.113813664277</v>
      </c>
      <c r="G797">
        <v>38471.911037030521</v>
      </c>
      <c r="H797">
        <v>120695.85148999443</v>
      </c>
      <c r="I797">
        <v>476176.9219454783</v>
      </c>
      <c r="J797">
        <v>7698636.698417482</v>
      </c>
      <c r="K797" s="68">
        <v>8229307.967067753</v>
      </c>
    </row>
    <row r="798" spans="1:11" x14ac:dyDescent="0.35">
      <c r="A798">
        <v>798</v>
      </c>
      <c r="B798">
        <v>1549.1797250650186</v>
      </c>
      <c r="C798">
        <v>5067.7260800730983</v>
      </c>
      <c r="D798">
        <v>8035.8983171103309</v>
      </c>
      <c r="E798">
        <v>15401.925979348134</v>
      </c>
      <c r="F798">
        <v>22242.285476410274</v>
      </c>
      <c r="G798">
        <v>38927.046955026162</v>
      </c>
      <c r="H798">
        <v>121746.98467722139</v>
      </c>
      <c r="I798">
        <v>476908.85222208535</v>
      </c>
      <c r="J798">
        <v>7701178.6140128933</v>
      </c>
      <c r="K798" s="68">
        <v>8230190.8190757353</v>
      </c>
    </row>
    <row r="799" spans="1:11" x14ac:dyDescent="0.35">
      <c r="A799">
        <v>799</v>
      </c>
      <c r="B799">
        <v>1564.7202094724307</v>
      </c>
      <c r="C799">
        <v>5093.7757373600207</v>
      </c>
      <c r="D799">
        <v>8133.3301053121313</v>
      </c>
      <c r="E799">
        <v>15485.573400131278</v>
      </c>
      <c r="F799">
        <v>22263.890758967369</v>
      </c>
      <c r="G799">
        <v>39041.225380598706</v>
      </c>
      <c r="H799">
        <v>121828.83407242034</v>
      </c>
      <c r="I799">
        <v>477448.70682524273</v>
      </c>
      <c r="J799">
        <v>7703069.0006879549</v>
      </c>
      <c r="K799" s="68">
        <v>8230884.425547787</v>
      </c>
    </row>
    <row r="800" spans="1:11" x14ac:dyDescent="0.35">
      <c r="A800">
        <v>800</v>
      </c>
      <c r="B800">
        <v>1588.048181290201</v>
      </c>
      <c r="C800">
        <v>5165.1749548500311</v>
      </c>
      <c r="D800">
        <v>8195.4338407222131</v>
      </c>
      <c r="E800">
        <v>15519.035700220271</v>
      </c>
      <c r="F800">
        <v>22283.95736733378</v>
      </c>
      <c r="G800">
        <v>39128.815640022862</v>
      </c>
      <c r="H800">
        <v>122047.0660948547</v>
      </c>
      <c r="I800">
        <v>477523.0972352426</v>
      </c>
      <c r="J800">
        <v>7706273.9960721219</v>
      </c>
      <c r="K800" s="68">
        <v>8232225.9386652038</v>
      </c>
    </row>
    <row r="801" spans="1:11" x14ac:dyDescent="0.35">
      <c r="A801">
        <v>801</v>
      </c>
      <c r="B801">
        <v>1590.6412910911536</v>
      </c>
      <c r="C801">
        <v>5173.0162277927066</v>
      </c>
      <c r="D801">
        <v>8226.1383957063463</v>
      </c>
      <c r="E801">
        <v>15576.835406102493</v>
      </c>
      <c r="F801">
        <v>22382.34859865328</v>
      </c>
      <c r="G801">
        <v>39140.314361997349</v>
      </c>
      <c r="H801">
        <v>122439.45117794613</v>
      </c>
      <c r="I801">
        <v>479552.09555466461</v>
      </c>
      <c r="J801">
        <v>7706805.8047390357</v>
      </c>
      <c r="K801" s="68">
        <v>8232636.4878101451</v>
      </c>
    </row>
    <row r="802" spans="1:11" x14ac:dyDescent="0.35">
      <c r="A802">
        <v>802</v>
      </c>
      <c r="B802">
        <v>1662.6815648302795</v>
      </c>
      <c r="C802">
        <v>5234.1178685447749</v>
      </c>
      <c r="D802">
        <v>8251.5731721050361</v>
      </c>
      <c r="E802">
        <v>15602.709451649407</v>
      </c>
      <c r="F802">
        <v>22518.332729903545</v>
      </c>
      <c r="G802">
        <v>39224.898587963296</v>
      </c>
      <c r="H802">
        <v>122712.81447984192</v>
      </c>
      <c r="I802">
        <v>480127.24415096431</v>
      </c>
      <c r="J802">
        <v>7707502.2908354001</v>
      </c>
      <c r="K802" s="68">
        <v>8238200.1714013536</v>
      </c>
    </row>
    <row r="803" spans="1:11" x14ac:dyDescent="0.35">
      <c r="A803">
        <v>803</v>
      </c>
      <c r="B803">
        <v>1751.6647360795876</v>
      </c>
      <c r="C803">
        <v>5240.9655823073081</v>
      </c>
      <c r="D803">
        <v>8362.870580649922</v>
      </c>
      <c r="E803">
        <v>15641.743974739295</v>
      </c>
      <c r="F803">
        <v>22554.059249650261</v>
      </c>
      <c r="G803">
        <v>39272.563504083017</v>
      </c>
      <c r="H803">
        <v>123152.93599153987</v>
      </c>
      <c r="I803">
        <v>480354.82055084896</v>
      </c>
      <c r="J803">
        <v>7707958.0270205615</v>
      </c>
      <c r="K803" s="68">
        <v>8238601.5684426511</v>
      </c>
    </row>
    <row r="804" spans="1:11" x14ac:dyDescent="0.35">
      <c r="A804">
        <v>804</v>
      </c>
      <c r="B804">
        <v>1793.4733576148926</v>
      </c>
      <c r="C804">
        <v>5354.5091266585605</v>
      </c>
      <c r="D804">
        <v>8370.1117911617494</v>
      </c>
      <c r="E804">
        <v>15681.066234671729</v>
      </c>
      <c r="F804">
        <v>22752.403045209572</v>
      </c>
      <c r="G804">
        <v>39592.540574042665</v>
      </c>
      <c r="H804">
        <v>123645.30454495581</v>
      </c>
      <c r="I804">
        <v>481767.66738683765</v>
      </c>
      <c r="J804">
        <v>7708885.3853832372</v>
      </c>
      <c r="K804" s="68">
        <v>8242737.3088560998</v>
      </c>
    </row>
    <row r="805" spans="1:11" x14ac:dyDescent="0.35">
      <c r="A805">
        <v>805</v>
      </c>
      <c r="B805">
        <v>1871.2550179224863</v>
      </c>
      <c r="C805">
        <v>5357.0540161362387</v>
      </c>
      <c r="D805">
        <v>8446.4717749082756</v>
      </c>
      <c r="E805">
        <v>15699.716155455679</v>
      </c>
      <c r="F805">
        <v>22759.060511216041</v>
      </c>
      <c r="G805">
        <v>39676.944224485858</v>
      </c>
      <c r="H805">
        <v>123668.30713434871</v>
      </c>
      <c r="I805">
        <v>481832.79578596103</v>
      </c>
      <c r="J805">
        <v>7709505.0008683214</v>
      </c>
      <c r="K805" s="68">
        <v>8243247.4627025053</v>
      </c>
    </row>
    <row r="806" spans="1:11" x14ac:dyDescent="0.35">
      <c r="A806">
        <v>806</v>
      </c>
      <c r="B806">
        <v>1876.9075508725005</v>
      </c>
      <c r="C806">
        <v>5426.3058964803786</v>
      </c>
      <c r="D806">
        <v>8486.559206765518</v>
      </c>
      <c r="E806">
        <v>15868.047165751217</v>
      </c>
      <c r="F806">
        <v>22777.467571977104</v>
      </c>
      <c r="G806">
        <v>39716.547145482196</v>
      </c>
      <c r="H806">
        <v>123734.67636289535</v>
      </c>
      <c r="I806">
        <v>481846.11531833385</v>
      </c>
      <c r="J806">
        <v>7710455.441026248</v>
      </c>
      <c r="K806" s="68">
        <v>8243601.6474809544</v>
      </c>
    </row>
    <row r="807" spans="1:11" x14ac:dyDescent="0.35">
      <c r="A807">
        <v>807</v>
      </c>
      <c r="B807">
        <v>1923.0450392612238</v>
      </c>
      <c r="C807">
        <v>5429.7371508089636</v>
      </c>
      <c r="D807">
        <v>8514.1856721647255</v>
      </c>
      <c r="E807">
        <v>15945.771308406771</v>
      </c>
      <c r="F807">
        <v>22847.107444172136</v>
      </c>
      <c r="G807">
        <v>39851.51623828616</v>
      </c>
      <c r="H807">
        <v>123924.90268431979</v>
      </c>
      <c r="I807">
        <v>482715.17618375144</v>
      </c>
      <c r="J807">
        <v>7711842.1976633547</v>
      </c>
      <c r="K807" s="68">
        <v>8244692.1327897701</v>
      </c>
    </row>
    <row r="808" spans="1:11" x14ac:dyDescent="0.35">
      <c r="A808">
        <v>808</v>
      </c>
      <c r="B808">
        <v>1971.6730944657734</v>
      </c>
      <c r="C808">
        <v>5503.4345293497445</v>
      </c>
      <c r="D808">
        <v>8569.7022445215152</v>
      </c>
      <c r="E808">
        <v>15948.529368160338</v>
      </c>
      <c r="F808">
        <v>22910.361291958317</v>
      </c>
      <c r="G808">
        <v>40013.390491780941</v>
      </c>
      <c r="H808">
        <v>123992.98936007268</v>
      </c>
      <c r="I808">
        <v>483133.80634835339</v>
      </c>
      <c r="J808">
        <v>7712191.272404314</v>
      </c>
      <c r="K808" s="68">
        <v>8248198.2506502932</v>
      </c>
    </row>
    <row r="809" spans="1:11" x14ac:dyDescent="0.35">
      <c r="A809">
        <v>809</v>
      </c>
      <c r="B809">
        <v>1977.5748440017649</v>
      </c>
      <c r="C809">
        <v>5528.3708333611839</v>
      </c>
      <c r="D809">
        <v>8586.4650905091767</v>
      </c>
      <c r="E809">
        <v>16067.531976074992</v>
      </c>
      <c r="F809">
        <v>22955.244723552722</v>
      </c>
      <c r="G809">
        <v>40341.065151041556</v>
      </c>
      <c r="H809">
        <v>124755.19309397427</v>
      </c>
      <c r="I809">
        <v>483135.20021080587</v>
      </c>
      <c r="J809">
        <v>7713778.308330575</v>
      </c>
      <c r="K809" s="68">
        <v>8248344.3443918657</v>
      </c>
    </row>
    <row r="810" spans="1:11" x14ac:dyDescent="0.35">
      <c r="A810">
        <v>810</v>
      </c>
      <c r="B810">
        <v>2031.3672379383263</v>
      </c>
      <c r="C810">
        <v>5529.0265199983542</v>
      </c>
      <c r="D810">
        <v>8753.4219306816703</v>
      </c>
      <c r="E810">
        <v>16072.0568871945</v>
      </c>
      <c r="F810">
        <v>23106.037525239044</v>
      </c>
      <c r="G810">
        <v>40499.411583361703</v>
      </c>
      <c r="H810">
        <v>124828.46764393404</v>
      </c>
      <c r="I810">
        <v>483161.72489688074</v>
      </c>
      <c r="J810">
        <v>7721413.8949546348</v>
      </c>
      <c r="K810" s="68">
        <v>8251585.9957110509</v>
      </c>
    </row>
    <row r="811" spans="1:11" x14ac:dyDescent="0.35">
      <c r="A811">
        <v>811</v>
      </c>
      <c r="B811">
        <v>2079.4254852268655</v>
      </c>
      <c r="C811">
        <v>5546.8678351112549</v>
      </c>
      <c r="D811">
        <v>8966.1028527795461</v>
      </c>
      <c r="E811">
        <v>16351.331723637802</v>
      </c>
      <c r="F811">
        <v>23133.050775408403</v>
      </c>
      <c r="G811">
        <v>40720.665720568664</v>
      </c>
      <c r="H811">
        <v>125646.87609433829</v>
      </c>
      <c r="I811">
        <v>483754.90899321996</v>
      </c>
      <c r="J811">
        <v>7723940.8086035904</v>
      </c>
      <c r="K811" s="68">
        <v>8252377.6252210122</v>
      </c>
    </row>
    <row r="812" spans="1:11" x14ac:dyDescent="0.35">
      <c r="A812">
        <v>812</v>
      </c>
      <c r="B812">
        <v>2115.4303086950599</v>
      </c>
      <c r="C812">
        <v>5558.9455807668328</v>
      </c>
      <c r="D812">
        <v>9179.0524709686051</v>
      </c>
      <c r="E812">
        <v>16389.894574611229</v>
      </c>
      <c r="F812">
        <v>23308.058174344926</v>
      </c>
      <c r="G812">
        <v>40916.615622605146</v>
      </c>
      <c r="H812">
        <v>126266.3215476889</v>
      </c>
      <c r="I812">
        <v>485881.41913052538</v>
      </c>
      <c r="J812">
        <v>7724853.6758293053</v>
      </c>
      <c r="K812" s="68">
        <v>8252855.5483305724</v>
      </c>
    </row>
    <row r="813" spans="1:11" x14ac:dyDescent="0.35">
      <c r="A813">
        <v>813</v>
      </c>
      <c r="B813">
        <v>2127.8520749731651</v>
      </c>
      <c r="C813">
        <v>5591.4927464261</v>
      </c>
      <c r="D813">
        <v>9300.6059905716666</v>
      </c>
      <c r="E813">
        <v>16563.544477250478</v>
      </c>
      <c r="F813">
        <v>23314.629430085111</v>
      </c>
      <c r="G813">
        <v>41218.657843847039</v>
      </c>
      <c r="H813">
        <v>126613.86881665273</v>
      </c>
      <c r="I813">
        <v>486116.78761015204</v>
      </c>
      <c r="J813">
        <v>7725030.2433571965</v>
      </c>
      <c r="K813" s="68">
        <v>8253357.1101617357</v>
      </c>
    </row>
    <row r="814" spans="1:11" x14ac:dyDescent="0.35">
      <c r="A814">
        <v>814</v>
      </c>
      <c r="B814">
        <v>2161.6592692955978</v>
      </c>
      <c r="C814">
        <v>5618.586667892122</v>
      </c>
      <c r="D814">
        <v>9337.7373984156493</v>
      </c>
      <c r="E814">
        <v>16883.11981348498</v>
      </c>
      <c r="F814">
        <v>23373.603287627757</v>
      </c>
      <c r="G814">
        <v>41596.393421710309</v>
      </c>
      <c r="H814">
        <v>126776.04358920062</v>
      </c>
      <c r="I814">
        <v>487159.30059507769</v>
      </c>
      <c r="J814">
        <v>7725275.4206768703</v>
      </c>
      <c r="K814" s="68">
        <v>8260873.3568828544</v>
      </c>
    </row>
    <row r="815" spans="1:11" x14ac:dyDescent="0.35">
      <c r="A815">
        <v>815</v>
      </c>
      <c r="B815">
        <v>2164.9258910722797</v>
      </c>
      <c r="C815">
        <v>5701.14901708242</v>
      </c>
      <c r="D815">
        <v>9407.7377424117949</v>
      </c>
      <c r="E815">
        <v>16942.590251966063</v>
      </c>
      <c r="F815">
        <v>23681.407294020057</v>
      </c>
      <c r="G815">
        <v>41740.911298256549</v>
      </c>
      <c r="H815">
        <v>126989.7069075645</v>
      </c>
      <c r="I815">
        <v>487406.62929791643</v>
      </c>
      <c r="J815">
        <v>7726646.4761043163</v>
      </c>
      <c r="K815" s="68">
        <v>8261256.7161808005</v>
      </c>
    </row>
    <row r="816" spans="1:11" x14ac:dyDescent="0.35">
      <c r="A816">
        <v>816</v>
      </c>
      <c r="B816">
        <v>2188.8858987045128</v>
      </c>
      <c r="C816">
        <v>5791.2981517091121</v>
      </c>
      <c r="D816">
        <v>9501.7703311497535</v>
      </c>
      <c r="E816">
        <v>16988.497259097123</v>
      </c>
      <c r="F816">
        <v>23953.111164034708</v>
      </c>
      <c r="G816">
        <v>41867.235690845642</v>
      </c>
      <c r="H816">
        <v>127211.57138607527</v>
      </c>
      <c r="I816">
        <v>487769.73728282476</v>
      </c>
      <c r="J816">
        <v>7732094.0747467112</v>
      </c>
      <c r="K816" s="68">
        <v>8261582.9957261793</v>
      </c>
    </row>
    <row r="817" spans="1:11" x14ac:dyDescent="0.35">
      <c r="A817">
        <v>817</v>
      </c>
      <c r="B817">
        <v>2192.4485271964977</v>
      </c>
      <c r="C817">
        <v>5865.193002349889</v>
      </c>
      <c r="D817">
        <v>9507.9352617254372</v>
      </c>
      <c r="E817">
        <v>17142.121871983112</v>
      </c>
      <c r="F817">
        <v>24011.304963423921</v>
      </c>
      <c r="G817">
        <v>42170.613994652762</v>
      </c>
      <c r="H817">
        <v>127223.57720303399</v>
      </c>
      <c r="I817">
        <v>488392.31544218154</v>
      </c>
      <c r="J817">
        <v>7732706.3572205901</v>
      </c>
      <c r="K817" s="68">
        <v>8262181.7735986095</v>
      </c>
    </row>
    <row r="818" spans="1:11" x14ac:dyDescent="0.35">
      <c r="A818">
        <v>818</v>
      </c>
      <c r="B818">
        <v>2270.744244206147</v>
      </c>
      <c r="C818">
        <v>5897.5299564984434</v>
      </c>
      <c r="D818">
        <v>9605.5538287096169</v>
      </c>
      <c r="E818">
        <v>17206.853834201509</v>
      </c>
      <c r="F818">
        <v>24337.438436957193</v>
      </c>
      <c r="G818">
        <v>42320.364929000221</v>
      </c>
      <c r="H818">
        <v>127297.70487271631</v>
      </c>
      <c r="I818">
        <v>488586.18655609881</v>
      </c>
      <c r="J818">
        <v>7734989.6004940933</v>
      </c>
      <c r="K818" s="68">
        <v>8264464.8663655557</v>
      </c>
    </row>
    <row r="819" spans="1:11" x14ac:dyDescent="0.35">
      <c r="A819">
        <v>819</v>
      </c>
      <c r="B819">
        <v>2305.7742708576247</v>
      </c>
      <c r="C819">
        <v>5929.7442214624025</v>
      </c>
      <c r="D819">
        <v>9614.727896379507</v>
      </c>
      <c r="E819">
        <v>17256.932737970368</v>
      </c>
      <c r="F819">
        <v>24449.607676234715</v>
      </c>
      <c r="G819">
        <v>42334.212275909675</v>
      </c>
      <c r="H819">
        <v>127506.10481692158</v>
      </c>
      <c r="I819">
        <v>488645.8212426104</v>
      </c>
      <c r="J819">
        <v>7735568.1711473027</v>
      </c>
      <c r="K819" s="68">
        <v>8265313.9789328519</v>
      </c>
    </row>
    <row r="820" spans="1:11" x14ac:dyDescent="0.35">
      <c r="A820">
        <v>820</v>
      </c>
      <c r="B820">
        <v>2391.0870293637695</v>
      </c>
      <c r="C820">
        <v>6017.7521886152135</v>
      </c>
      <c r="D820">
        <v>9857.0327203573597</v>
      </c>
      <c r="E820">
        <v>17314.927460930041</v>
      </c>
      <c r="F820">
        <v>24525.103454291602</v>
      </c>
      <c r="G820">
        <v>42519.434491203472</v>
      </c>
      <c r="H820">
        <v>128032.6661256018</v>
      </c>
      <c r="I820">
        <v>488864.50281319139</v>
      </c>
      <c r="J820">
        <v>7736875.8213299895</v>
      </c>
      <c r="K820" s="68">
        <v>8269529.6206551064</v>
      </c>
    </row>
    <row r="821" spans="1:11" x14ac:dyDescent="0.35">
      <c r="A821">
        <v>821</v>
      </c>
      <c r="B821">
        <v>2433.9579443344523</v>
      </c>
      <c r="C821">
        <v>6051.8588204671405</v>
      </c>
      <c r="D821">
        <v>9885.6604165372009</v>
      </c>
      <c r="E821">
        <v>17398.827590614823</v>
      </c>
      <c r="F821">
        <v>24620.924138006703</v>
      </c>
      <c r="G821">
        <v>42590.195430111409</v>
      </c>
      <c r="H821">
        <v>128056.12885157423</v>
      </c>
      <c r="I821">
        <v>489267.83264735434</v>
      </c>
      <c r="J821">
        <v>7737828.6966036763</v>
      </c>
      <c r="K821" s="68">
        <v>8272120.8175477441</v>
      </c>
    </row>
    <row r="822" spans="1:11" x14ac:dyDescent="0.35">
      <c r="A822">
        <v>822</v>
      </c>
      <c r="B822">
        <v>2465.3015032679587</v>
      </c>
      <c r="C822">
        <v>6089.6918198937938</v>
      </c>
      <c r="D822">
        <v>9976.1359385610704</v>
      </c>
      <c r="E822">
        <v>17446.014579419447</v>
      </c>
      <c r="F822">
        <v>25111.800881691484</v>
      </c>
      <c r="G822">
        <v>42628.268999908738</v>
      </c>
      <c r="H822">
        <v>128464.61210710832</v>
      </c>
      <c r="I822">
        <v>489511.41937236756</v>
      </c>
      <c r="J822">
        <v>7739327.9580502799</v>
      </c>
      <c r="K822" s="68">
        <v>8274917.8859582692</v>
      </c>
    </row>
    <row r="823" spans="1:11" x14ac:dyDescent="0.35">
      <c r="A823">
        <v>823</v>
      </c>
      <c r="B823">
        <v>2467.5987580305627</v>
      </c>
      <c r="C823">
        <v>6135.3537741502059</v>
      </c>
      <c r="D823">
        <v>10130.653884370355</v>
      </c>
      <c r="E823">
        <v>17785.138790709323</v>
      </c>
      <c r="F823">
        <v>25185.025087123271</v>
      </c>
      <c r="G823">
        <v>42827.31336858256</v>
      </c>
      <c r="H823">
        <v>128843.16879964586</v>
      </c>
      <c r="I823">
        <v>489583.08679605497</v>
      </c>
      <c r="J823">
        <v>7740173.9187190915</v>
      </c>
      <c r="K823" s="68">
        <v>8279143.9449789394</v>
      </c>
    </row>
    <row r="824" spans="1:11" x14ac:dyDescent="0.35">
      <c r="A824">
        <v>824</v>
      </c>
      <c r="B824">
        <v>2477.8444125580804</v>
      </c>
      <c r="C824">
        <v>6138.0795436805847</v>
      </c>
      <c r="D824">
        <v>10277.148355069556</v>
      </c>
      <c r="E824">
        <v>17887.186322325833</v>
      </c>
      <c r="F824">
        <v>25429.532013021984</v>
      </c>
      <c r="G824">
        <v>43149.299547709874</v>
      </c>
      <c r="H824">
        <v>129405.370744657</v>
      </c>
      <c r="I824">
        <v>489765.52453624125</v>
      </c>
      <c r="J824">
        <v>7741079.8453121353</v>
      </c>
      <c r="K824" s="68">
        <v>8287430.6936185453</v>
      </c>
    </row>
    <row r="825" spans="1:11" x14ac:dyDescent="0.35">
      <c r="A825">
        <v>825</v>
      </c>
      <c r="B825">
        <v>2549.3182385014334</v>
      </c>
      <c r="C825">
        <v>6189.2984764249213</v>
      </c>
      <c r="D825">
        <v>10283.168812007923</v>
      </c>
      <c r="E825">
        <v>17900.676354438037</v>
      </c>
      <c r="F825">
        <v>25709.250535480911</v>
      </c>
      <c r="G825">
        <v>43156.091089833433</v>
      </c>
      <c r="H825">
        <v>129415.29075136778</v>
      </c>
      <c r="I825">
        <v>490601.19107497472</v>
      </c>
      <c r="J825">
        <v>7743074.4336267477</v>
      </c>
      <c r="K825" s="68">
        <v>8292008.740866771</v>
      </c>
    </row>
    <row r="826" spans="1:11" x14ac:dyDescent="0.35">
      <c r="A826">
        <v>826</v>
      </c>
      <c r="B826">
        <v>2558.5148823545819</v>
      </c>
      <c r="C826">
        <v>6334.1256899997479</v>
      </c>
      <c r="D826">
        <v>10334.120405677277</v>
      </c>
      <c r="E826">
        <v>17954.540811955692</v>
      </c>
      <c r="F826">
        <v>25882.247824775764</v>
      </c>
      <c r="G826">
        <v>43281.740249613795</v>
      </c>
      <c r="H826">
        <v>129617.36944377734</v>
      </c>
      <c r="I826">
        <v>491897.16377507267</v>
      </c>
      <c r="J826">
        <v>7744038.6973236594</v>
      </c>
      <c r="K826" s="68">
        <v>8292066.5862253485</v>
      </c>
    </row>
    <row r="827" spans="1:11" x14ac:dyDescent="0.35">
      <c r="A827">
        <v>827</v>
      </c>
      <c r="B827">
        <v>2632.1817376601125</v>
      </c>
      <c r="C827">
        <v>6442.5448887068305</v>
      </c>
      <c r="D827">
        <v>10443.182930014556</v>
      </c>
      <c r="E827">
        <v>17980.805481393072</v>
      </c>
      <c r="F827">
        <v>26094.966192138803</v>
      </c>
      <c r="G827">
        <v>43310.637770585534</v>
      </c>
      <c r="H827">
        <v>129702.3870816547</v>
      </c>
      <c r="I827">
        <v>493239.49209651543</v>
      </c>
      <c r="J827">
        <v>7744773.3663729606</v>
      </c>
      <c r="K827" s="68">
        <v>8292856.62437848</v>
      </c>
    </row>
    <row r="828" spans="1:11" x14ac:dyDescent="0.35">
      <c r="A828">
        <v>828</v>
      </c>
      <c r="B828">
        <v>2643.4049428090634</v>
      </c>
      <c r="C828">
        <v>6520.3691759229459</v>
      </c>
      <c r="D828">
        <v>10478.582372216593</v>
      </c>
      <c r="E828">
        <v>17986.403469900026</v>
      </c>
      <c r="F828">
        <v>26116.87458342806</v>
      </c>
      <c r="G828">
        <v>43361.573080871691</v>
      </c>
      <c r="H828">
        <v>129742.44672566114</v>
      </c>
      <c r="I828">
        <v>493615.83101598115</v>
      </c>
      <c r="J828">
        <v>7746098.9169215104</v>
      </c>
      <c r="K828" s="68">
        <v>8297094.307222235</v>
      </c>
    </row>
    <row r="829" spans="1:11" x14ac:dyDescent="0.35">
      <c r="A829">
        <v>829</v>
      </c>
      <c r="B829">
        <v>2666.2939086243455</v>
      </c>
      <c r="C829">
        <v>6524.5784860457297</v>
      </c>
      <c r="D829">
        <v>10528.08169974132</v>
      </c>
      <c r="E829">
        <v>18131.352445510696</v>
      </c>
      <c r="F829">
        <v>26146.05173096092</v>
      </c>
      <c r="G829">
        <v>43658.268839035853</v>
      </c>
      <c r="H829">
        <v>130225.24256877443</v>
      </c>
      <c r="I829">
        <v>493787.29163033061</v>
      </c>
      <c r="J829">
        <v>7756562.2795271566</v>
      </c>
      <c r="K829" s="68">
        <v>8298029.6282821298</v>
      </c>
    </row>
    <row r="830" spans="1:11" x14ac:dyDescent="0.35">
      <c r="A830">
        <v>830</v>
      </c>
      <c r="B830">
        <v>2704.0502635633911</v>
      </c>
      <c r="C830">
        <v>6524.6250156222413</v>
      </c>
      <c r="D830">
        <v>10772.293045935165</v>
      </c>
      <c r="E830">
        <v>18143.493280944145</v>
      </c>
      <c r="F830">
        <v>26372.167505222536</v>
      </c>
      <c r="G830">
        <v>43754.424116997878</v>
      </c>
      <c r="H830">
        <v>130287.98542781062</v>
      </c>
      <c r="I830">
        <v>493889.28817565157</v>
      </c>
      <c r="J830">
        <v>7757765.7358836746</v>
      </c>
      <c r="K830" s="68">
        <v>8298071.8452006867</v>
      </c>
    </row>
    <row r="831" spans="1:11" x14ac:dyDescent="0.35">
      <c r="A831">
        <v>831</v>
      </c>
      <c r="B831">
        <v>2792.1657756369259</v>
      </c>
      <c r="C831">
        <v>6727.1202742231681</v>
      </c>
      <c r="D831">
        <v>10783.694408538006</v>
      </c>
      <c r="E831">
        <v>18152.268941983762</v>
      </c>
      <c r="F831">
        <v>26427.288691831614</v>
      </c>
      <c r="G831">
        <v>44241.707182517319</v>
      </c>
      <c r="H831">
        <v>130319.15031702354</v>
      </c>
      <c r="I831">
        <v>494438.54340714973</v>
      </c>
      <c r="J831">
        <v>7761382.3043490881</v>
      </c>
      <c r="K831" s="68">
        <v>8298321.0640170928</v>
      </c>
    </row>
    <row r="832" spans="1:11" x14ac:dyDescent="0.35">
      <c r="A832">
        <v>832</v>
      </c>
      <c r="B832">
        <v>2852.1625126804543</v>
      </c>
      <c r="C832">
        <v>6752.3706355666563</v>
      </c>
      <c r="D832">
        <v>10864.250147096158</v>
      </c>
      <c r="E832">
        <v>18460.497227948716</v>
      </c>
      <c r="F832">
        <v>26960.00832623717</v>
      </c>
      <c r="G832">
        <v>44279.034749818202</v>
      </c>
      <c r="H832">
        <v>130343.97653628935</v>
      </c>
      <c r="I832">
        <v>495260.5557979538</v>
      </c>
      <c r="J832">
        <v>7761476.2873291951</v>
      </c>
      <c r="K832" s="68">
        <v>8299287.0413800543</v>
      </c>
    </row>
    <row r="833" spans="1:11" x14ac:dyDescent="0.35">
      <c r="A833">
        <v>833</v>
      </c>
      <c r="B833">
        <v>2881.8982700770975</v>
      </c>
      <c r="C833">
        <v>6798.2332614536899</v>
      </c>
      <c r="D833">
        <v>10888.085901940793</v>
      </c>
      <c r="E833">
        <v>19862.58040811351</v>
      </c>
      <c r="F833">
        <v>27170.790162935686</v>
      </c>
      <c r="G833">
        <v>44620.811262223033</v>
      </c>
      <c r="H833">
        <v>130359.21608094234</v>
      </c>
      <c r="I833">
        <v>495427.15873745549</v>
      </c>
      <c r="J833">
        <v>7762239.1524934601</v>
      </c>
      <c r="K833" s="68">
        <v>8299407.0895619597</v>
      </c>
    </row>
    <row r="834" spans="1:11" x14ac:dyDescent="0.35">
      <c r="A834">
        <v>834</v>
      </c>
      <c r="B834">
        <v>2981.3752027085397</v>
      </c>
      <c r="C834">
        <v>6901.9018473795668</v>
      </c>
      <c r="D834">
        <v>10955.801290569401</v>
      </c>
      <c r="E834">
        <v>19993.981116494888</v>
      </c>
      <c r="F834">
        <v>27241.538033661629</v>
      </c>
      <c r="G834">
        <v>45440.537596570168</v>
      </c>
      <c r="H834">
        <v>130473.29375120031</v>
      </c>
      <c r="I834">
        <v>495469.59934009542</v>
      </c>
      <c r="J834">
        <v>7766338.4426815007</v>
      </c>
      <c r="K834" s="68">
        <v>8301094.6975180693</v>
      </c>
    </row>
    <row r="835" spans="1:11" x14ac:dyDescent="0.35">
      <c r="A835">
        <v>835</v>
      </c>
      <c r="B835">
        <v>3172.6861444146871</v>
      </c>
      <c r="C835">
        <v>6942.2592491592641</v>
      </c>
      <c r="D835">
        <v>11136.102569760293</v>
      </c>
      <c r="E835">
        <v>20075.293111816893</v>
      </c>
      <c r="F835">
        <v>27537.581087342474</v>
      </c>
      <c r="G835">
        <v>45553.716806708304</v>
      </c>
      <c r="H835">
        <v>130514.18627548397</v>
      </c>
      <c r="I835">
        <v>495561.36020549003</v>
      </c>
      <c r="J835">
        <v>7768920.9047721894</v>
      </c>
      <c r="K835" s="68">
        <v>8305340.3169229673</v>
      </c>
    </row>
    <row r="836" spans="1:11" x14ac:dyDescent="0.35">
      <c r="A836">
        <v>836</v>
      </c>
      <c r="B836">
        <v>3282.2704063003207</v>
      </c>
      <c r="C836">
        <v>6962.1115609200097</v>
      </c>
      <c r="D836">
        <v>11279.174785698875</v>
      </c>
      <c r="E836">
        <v>20325.529951066856</v>
      </c>
      <c r="F836">
        <v>27733.843149260596</v>
      </c>
      <c r="G836">
        <v>45583.738759324158</v>
      </c>
      <c r="H836">
        <v>130787.02235824452</v>
      </c>
      <c r="I836">
        <v>496069.60094763048</v>
      </c>
      <c r="J836">
        <v>7769002.3503846861</v>
      </c>
      <c r="K836" s="68">
        <v>8311585.0433898447</v>
      </c>
    </row>
    <row r="837" spans="1:11" x14ac:dyDescent="0.35">
      <c r="A837">
        <v>837</v>
      </c>
      <c r="B837">
        <v>3366.9860982486625</v>
      </c>
      <c r="C837">
        <v>7273.7482569479062</v>
      </c>
      <c r="D837">
        <v>11495.113402242443</v>
      </c>
      <c r="E837">
        <v>20584.377522857296</v>
      </c>
      <c r="F837">
        <v>27743.25063156688</v>
      </c>
      <c r="G837">
        <v>45763.198503108237</v>
      </c>
      <c r="H837">
        <v>131360.69345920751</v>
      </c>
      <c r="I837">
        <v>496101.90084130247</v>
      </c>
      <c r="J837">
        <v>7769945.2455716208</v>
      </c>
      <c r="K837" s="68">
        <v>8316219.2613084866</v>
      </c>
    </row>
    <row r="838" spans="1:11" x14ac:dyDescent="0.35">
      <c r="A838">
        <v>838</v>
      </c>
      <c r="B838">
        <v>3466.4347092300386</v>
      </c>
      <c r="C838">
        <v>7479.3119701556861</v>
      </c>
      <c r="D838">
        <v>12037.318522245983</v>
      </c>
      <c r="E838">
        <v>21057.346012699272</v>
      </c>
      <c r="F838">
        <v>27814.319337653749</v>
      </c>
      <c r="G838">
        <v>46415.296401521387</v>
      </c>
      <c r="H838">
        <v>131453.22410970076</v>
      </c>
      <c r="I838">
        <v>497045.18598226743</v>
      </c>
      <c r="J838">
        <v>7770615.0887191575</v>
      </c>
      <c r="K838" s="68">
        <v>8319286.0477842148</v>
      </c>
    </row>
    <row r="839" spans="1:11" x14ac:dyDescent="0.35">
      <c r="A839">
        <v>839</v>
      </c>
      <c r="B839">
        <v>3503.5737165842716</v>
      </c>
      <c r="C839">
        <v>7617.9740469640283</v>
      </c>
      <c r="D839">
        <v>12203.907619597087</v>
      </c>
      <c r="E839">
        <v>21238.352716175323</v>
      </c>
      <c r="F839">
        <v>27896.790942616914</v>
      </c>
      <c r="G839">
        <v>46473.36085125331</v>
      </c>
      <c r="H839">
        <v>131663.5105528064</v>
      </c>
      <c r="I839">
        <v>497147.97201493295</v>
      </c>
      <c r="J839">
        <v>7774210.0038641095</v>
      </c>
      <c r="K839" s="68">
        <v>8321819.717594346</v>
      </c>
    </row>
    <row r="840" spans="1:11" x14ac:dyDescent="0.35">
      <c r="A840">
        <v>840</v>
      </c>
      <c r="B840">
        <v>3574.107557966433</v>
      </c>
      <c r="C840">
        <v>7628.1662493315962</v>
      </c>
      <c r="D840">
        <v>12224.700661145798</v>
      </c>
      <c r="E840">
        <v>21282.12798450821</v>
      </c>
      <c r="F840">
        <v>27935.052567329287</v>
      </c>
      <c r="G840">
        <v>46563.775650283773</v>
      </c>
      <c r="H840">
        <v>131918.3243116168</v>
      </c>
      <c r="I840">
        <v>497464.66721237707</v>
      </c>
      <c r="J840">
        <v>7776386.6595218722</v>
      </c>
      <c r="K840" s="68">
        <v>8322575.2153562196</v>
      </c>
    </row>
    <row r="841" spans="1:11" x14ac:dyDescent="0.35">
      <c r="A841">
        <v>841</v>
      </c>
      <c r="B841">
        <v>3649.6525057975023</v>
      </c>
      <c r="C841">
        <v>7741.3332839087307</v>
      </c>
      <c r="D841">
        <v>12227.492402065513</v>
      </c>
      <c r="E841">
        <v>21403.531515408133</v>
      </c>
      <c r="F841">
        <v>28136.069026383175</v>
      </c>
      <c r="G841">
        <v>46684.357252488371</v>
      </c>
      <c r="H841">
        <v>132024.78715196787</v>
      </c>
      <c r="I841">
        <v>497691.00421312684</v>
      </c>
      <c r="J841">
        <v>7778309.1804162031</v>
      </c>
      <c r="K841" s="68">
        <v>8323444.3117786711</v>
      </c>
    </row>
    <row r="842" spans="1:11" x14ac:dyDescent="0.35">
      <c r="A842">
        <v>842</v>
      </c>
      <c r="B842">
        <v>3902.21707598589</v>
      </c>
      <c r="C842">
        <v>7789.5500836646161</v>
      </c>
      <c r="D842">
        <v>12277.763220648781</v>
      </c>
      <c r="E842">
        <v>21868.444791720012</v>
      </c>
      <c r="F842">
        <v>28244.809478013489</v>
      </c>
      <c r="G842">
        <v>46728.997112369274</v>
      </c>
      <c r="H842">
        <v>132102.76077688238</v>
      </c>
      <c r="I842">
        <v>497774.69863887265</v>
      </c>
      <c r="J842">
        <v>7778383.0346776284</v>
      </c>
      <c r="K842" s="68">
        <v>8324772.2618207922</v>
      </c>
    </row>
    <row r="843" spans="1:11" x14ac:dyDescent="0.35">
      <c r="A843">
        <v>843</v>
      </c>
      <c r="B843">
        <v>3903.0066919252881</v>
      </c>
      <c r="C843">
        <v>7853.4706031094283</v>
      </c>
      <c r="D843">
        <v>12490.800676452724</v>
      </c>
      <c r="E843">
        <v>22011.983971217713</v>
      </c>
      <c r="F843">
        <v>28475.666101186343</v>
      </c>
      <c r="G843">
        <v>46894.425280689247</v>
      </c>
      <c r="H843">
        <v>132228.23370778922</v>
      </c>
      <c r="I843">
        <v>498277.02837646642</v>
      </c>
      <c r="J843">
        <v>7778727.8752373587</v>
      </c>
      <c r="K843" s="68">
        <v>8325423.1021236395</v>
      </c>
    </row>
    <row r="844" spans="1:11" x14ac:dyDescent="0.35">
      <c r="A844">
        <v>844</v>
      </c>
      <c r="B844">
        <v>3927.4256894146479</v>
      </c>
      <c r="C844">
        <v>7912.4216431174145</v>
      </c>
      <c r="D844">
        <v>12651.376697545826</v>
      </c>
      <c r="E844">
        <v>22076.584212440939</v>
      </c>
      <c r="F844">
        <v>28587.684058740724</v>
      </c>
      <c r="G844">
        <v>46993.907804463655</v>
      </c>
      <c r="H844">
        <v>132350.13265779385</v>
      </c>
      <c r="I844">
        <v>498524.97193762538</v>
      </c>
      <c r="J844">
        <v>7780806.5181415547</v>
      </c>
      <c r="K844" s="68">
        <v>8327398.6615112787</v>
      </c>
    </row>
    <row r="845" spans="1:11" x14ac:dyDescent="0.35">
      <c r="A845">
        <v>845</v>
      </c>
      <c r="B845">
        <v>4038.5661807241868</v>
      </c>
      <c r="C845">
        <v>7986.6961714883646</v>
      </c>
      <c r="D845">
        <v>12654.801756393439</v>
      </c>
      <c r="E845">
        <v>22100.32569450287</v>
      </c>
      <c r="F845">
        <v>28612.455694497388</v>
      </c>
      <c r="G845">
        <v>47239.127692159003</v>
      </c>
      <c r="H845">
        <v>132420.98411058245</v>
      </c>
      <c r="I845">
        <v>498871.22931956087</v>
      </c>
      <c r="J845">
        <v>7783300.1094296603</v>
      </c>
      <c r="K845" s="68">
        <v>8331049.796466345</v>
      </c>
    </row>
    <row r="846" spans="1:11" x14ac:dyDescent="0.35">
      <c r="A846">
        <v>846</v>
      </c>
      <c r="B846">
        <v>4185.8086123073099</v>
      </c>
      <c r="C846">
        <v>8014.2379560564295</v>
      </c>
      <c r="D846">
        <v>12697.447442134997</v>
      </c>
      <c r="E846">
        <v>22422.645425600342</v>
      </c>
      <c r="F846">
        <v>28653.367768691991</v>
      </c>
      <c r="G846">
        <v>47392.731803461305</v>
      </c>
      <c r="H846">
        <v>132515.02377622671</v>
      </c>
      <c r="I846">
        <v>499152.73221915582</v>
      </c>
      <c r="J846">
        <v>7788031.2290542088</v>
      </c>
      <c r="K846" s="68">
        <v>8334232.6776803546</v>
      </c>
    </row>
    <row r="847" spans="1:11" x14ac:dyDescent="0.35">
      <c r="A847">
        <v>847</v>
      </c>
      <c r="B847">
        <v>4198.5444782051572</v>
      </c>
      <c r="C847">
        <v>8121.0641684017801</v>
      </c>
      <c r="D847">
        <v>12698.790674507878</v>
      </c>
      <c r="E847">
        <v>22464.158348285007</v>
      </c>
      <c r="F847">
        <v>28959.499960964407</v>
      </c>
      <c r="G847">
        <v>47555.890666173145</v>
      </c>
      <c r="H847">
        <v>132733.30171177621</v>
      </c>
      <c r="I847">
        <v>499629.21295741538</v>
      </c>
      <c r="J847">
        <v>7788972.4025780251</v>
      </c>
      <c r="K847" s="68">
        <v>8335592.8936141049</v>
      </c>
    </row>
    <row r="848" spans="1:11" x14ac:dyDescent="0.35">
      <c r="A848">
        <v>848</v>
      </c>
      <c r="B848">
        <v>4242.2981102784061</v>
      </c>
      <c r="C848">
        <v>8140.8622947167805</v>
      </c>
      <c r="D848">
        <v>12753.402474020811</v>
      </c>
      <c r="E848">
        <v>22606.800219033459</v>
      </c>
      <c r="F848">
        <v>28993.668666724519</v>
      </c>
      <c r="G848">
        <v>47651.325122134826</v>
      </c>
      <c r="H848">
        <v>132809.42389742701</v>
      </c>
      <c r="I848">
        <v>501140.91714020097</v>
      </c>
      <c r="J848">
        <v>7795402.7350157378</v>
      </c>
      <c r="K848" s="68">
        <v>8342646.6900638733</v>
      </c>
    </row>
    <row r="849" spans="1:11" x14ac:dyDescent="0.35">
      <c r="A849">
        <v>849</v>
      </c>
      <c r="B849">
        <v>4313.4078364644465</v>
      </c>
      <c r="C849">
        <v>8166.0582374024698</v>
      </c>
      <c r="D849">
        <v>12837.547399003679</v>
      </c>
      <c r="E849">
        <v>22892.311186111645</v>
      </c>
      <c r="F849">
        <v>29091.829152993545</v>
      </c>
      <c r="G849">
        <v>47880.284899068603</v>
      </c>
      <c r="H849">
        <v>132871.34696776158</v>
      </c>
      <c r="I849">
        <v>501534.03524245415</v>
      </c>
      <c r="J849">
        <v>7796390.3506853143</v>
      </c>
      <c r="K849" s="68">
        <v>8343996.6567238551</v>
      </c>
    </row>
    <row r="850" spans="1:11" x14ac:dyDescent="0.35">
      <c r="A850">
        <v>850</v>
      </c>
      <c r="B850">
        <v>4392.7070706739669</v>
      </c>
      <c r="C850">
        <v>8561.4735727461211</v>
      </c>
      <c r="D850">
        <v>12981.803527126831</v>
      </c>
      <c r="E850">
        <v>22951.990811380492</v>
      </c>
      <c r="F850">
        <v>29510.311352762135</v>
      </c>
      <c r="G850">
        <v>48066.098276703044</v>
      </c>
      <c r="H850">
        <v>132908.87329256645</v>
      </c>
      <c r="I850">
        <v>501878.51790383132</v>
      </c>
      <c r="J850">
        <v>7799985.3298383458</v>
      </c>
      <c r="K850" s="68">
        <v>8344004.5091193877</v>
      </c>
    </row>
    <row r="851" spans="1:11" x14ac:dyDescent="0.35">
      <c r="A851">
        <v>851</v>
      </c>
      <c r="B851">
        <v>4406.2817330107519</v>
      </c>
      <c r="C851">
        <v>8568.9352627077697</v>
      </c>
      <c r="D851">
        <v>13031.043364641402</v>
      </c>
      <c r="E851">
        <v>23267.265603789532</v>
      </c>
      <c r="F851">
        <v>29681.009559735659</v>
      </c>
      <c r="G851">
        <v>48096.146354155528</v>
      </c>
      <c r="H851">
        <v>133115.98275911697</v>
      </c>
      <c r="I851">
        <v>502205.68399013876</v>
      </c>
      <c r="J851">
        <v>7805130.8439385947</v>
      </c>
      <c r="K851" s="68">
        <v>8345326.1161144488</v>
      </c>
    </row>
    <row r="852" spans="1:11" x14ac:dyDescent="0.35">
      <c r="A852">
        <v>852</v>
      </c>
      <c r="B852">
        <v>4500.8354723507873</v>
      </c>
      <c r="C852">
        <v>8632.9175847689494</v>
      </c>
      <c r="D852">
        <v>13447.833236318953</v>
      </c>
      <c r="E852">
        <v>23317.661375638709</v>
      </c>
      <c r="F852">
        <v>29704.085734418266</v>
      </c>
      <c r="G852">
        <v>48166.37645519436</v>
      </c>
      <c r="H852">
        <v>133256.57117154126</v>
      </c>
      <c r="I852">
        <v>502722.78196207358</v>
      </c>
      <c r="J852">
        <v>7808280.6479056207</v>
      </c>
      <c r="K852" s="68">
        <v>8348586.3454663167</v>
      </c>
    </row>
    <row r="853" spans="1:11" x14ac:dyDescent="0.35">
      <c r="A853">
        <v>853</v>
      </c>
      <c r="B853">
        <v>4581.9233049109234</v>
      </c>
      <c r="C853">
        <v>9121.7633692618801</v>
      </c>
      <c r="D853">
        <v>13512.391382107773</v>
      </c>
      <c r="E853">
        <v>23368.042765061818</v>
      </c>
      <c r="F853">
        <v>29720.697351793613</v>
      </c>
      <c r="G853">
        <v>48307.731625109533</v>
      </c>
      <c r="H853">
        <v>133281.50556305039</v>
      </c>
      <c r="I853">
        <v>503950.20093792852</v>
      </c>
      <c r="J853">
        <v>7812729.517716011</v>
      </c>
      <c r="K853" s="68">
        <v>8351678.1057727411</v>
      </c>
    </row>
    <row r="854" spans="1:11" x14ac:dyDescent="0.35">
      <c r="A854">
        <v>854</v>
      </c>
      <c r="B854">
        <v>4608.3691942523146</v>
      </c>
      <c r="C854">
        <v>9234.6295589496931</v>
      </c>
      <c r="D854">
        <v>13527.576439883502</v>
      </c>
      <c r="E854">
        <v>23584.540617833802</v>
      </c>
      <c r="F854">
        <v>30257.028696296122</v>
      </c>
      <c r="G854">
        <v>48508.829072614491</v>
      </c>
      <c r="H854">
        <v>133363.41850079171</v>
      </c>
      <c r="I854">
        <v>504104.49433327076</v>
      </c>
      <c r="J854">
        <v>7813726.2232265836</v>
      </c>
      <c r="K854" s="68">
        <v>8354672.5087754251</v>
      </c>
    </row>
    <row r="855" spans="1:11" x14ac:dyDescent="0.35">
      <c r="A855">
        <v>855</v>
      </c>
      <c r="B855">
        <v>4658.447335647651</v>
      </c>
      <c r="C855">
        <v>9236.0445361256152</v>
      </c>
      <c r="D855">
        <v>13544.274103220003</v>
      </c>
      <c r="E855">
        <v>23648.036924213739</v>
      </c>
      <c r="F855">
        <v>30266.063426914377</v>
      </c>
      <c r="G855">
        <v>48658.638087912375</v>
      </c>
      <c r="H855">
        <v>133374.48450608033</v>
      </c>
      <c r="I855">
        <v>504299.99476217467</v>
      </c>
      <c r="J855">
        <v>7814116.6399549264</v>
      </c>
      <c r="K855" s="68">
        <v>8354844.5163610084</v>
      </c>
    </row>
    <row r="856" spans="1:11" x14ac:dyDescent="0.35">
      <c r="A856">
        <v>856</v>
      </c>
      <c r="B856">
        <v>4777.6661208355072</v>
      </c>
      <c r="C856">
        <v>9356.8215764359575</v>
      </c>
      <c r="D856">
        <v>13591.449561556776</v>
      </c>
      <c r="E856">
        <v>23954.71761808627</v>
      </c>
      <c r="F856">
        <v>30576.967250838163</v>
      </c>
      <c r="G856">
        <v>48729.38977656018</v>
      </c>
      <c r="H856">
        <v>133656.06904458191</v>
      </c>
      <c r="I856">
        <v>505043.29983832256</v>
      </c>
      <c r="J856">
        <v>7814539.907712765</v>
      </c>
      <c r="K856" s="68">
        <v>8356652.2185340943</v>
      </c>
    </row>
    <row r="857" spans="1:11" x14ac:dyDescent="0.35">
      <c r="A857">
        <v>857</v>
      </c>
      <c r="B857">
        <v>4800.819307732364</v>
      </c>
      <c r="C857">
        <v>9872.9571786718188</v>
      </c>
      <c r="D857">
        <v>13599.215429070915</v>
      </c>
      <c r="E857">
        <v>24138.418024709041</v>
      </c>
      <c r="F857">
        <v>30605.677137566967</v>
      </c>
      <c r="G857">
        <v>48747.341147883621</v>
      </c>
      <c r="H857">
        <v>134001.13330929202</v>
      </c>
      <c r="I857">
        <v>506703.18115309201</v>
      </c>
      <c r="J857">
        <v>7814603.6665369812</v>
      </c>
      <c r="K857" s="68">
        <v>8357609.2471902473</v>
      </c>
    </row>
    <row r="858" spans="1:11" x14ac:dyDescent="0.35">
      <c r="A858">
        <v>858</v>
      </c>
      <c r="B858">
        <v>4807.8106531826543</v>
      </c>
      <c r="C858">
        <v>9882.8941061362693</v>
      </c>
      <c r="D858">
        <v>13642.500825973826</v>
      </c>
      <c r="E858">
        <v>24143.396058405975</v>
      </c>
      <c r="F858">
        <v>30703.929766573423</v>
      </c>
      <c r="G858">
        <v>48970.019435084854</v>
      </c>
      <c r="H858">
        <v>134093.01864900778</v>
      </c>
      <c r="I858">
        <v>506872.38436701783</v>
      </c>
      <c r="J858">
        <v>7815348.5382978078</v>
      </c>
      <c r="K858" s="68">
        <v>8357638.2502139369</v>
      </c>
    </row>
    <row r="859" spans="1:11" x14ac:dyDescent="0.35">
      <c r="A859">
        <v>859</v>
      </c>
      <c r="B859">
        <v>4810.0657956373689</v>
      </c>
      <c r="C859">
        <v>9917.5042487699156</v>
      </c>
      <c r="D859">
        <v>13770.740062426499</v>
      </c>
      <c r="E859">
        <v>24284.928926588964</v>
      </c>
      <c r="F859">
        <v>30766.530633647963</v>
      </c>
      <c r="G859">
        <v>49480.43712774742</v>
      </c>
      <c r="H859">
        <v>134293.75727773126</v>
      </c>
      <c r="I859">
        <v>508084.52324190288</v>
      </c>
      <c r="J859">
        <v>7818820.5354514606</v>
      </c>
      <c r="K859" s="68">
        <v>8358868.5378947407</v>
      </c>
    </row>
    <row r="860" spans="1:11" x14ac:dyDescent="0.35">
      <c r="A860">
        <v>860</v>
      </c>
      <c r="B860">
        <v>4854.3208553412223</v>
      </c>
      <c r="C860">
        <v>9961.256935379306</v>
      </c>
      <c r="D860">
        <v>13836.204572986162</v>
      </c>
      <c r="E860">
        <v>24420.106259140899</v>
      </c>
      <c r="F860">
        <v>30902.856281830205</v>
      </c>
      <c r="G860">
        <v>50083.74455370364</v>
      </c>
      <c r="H860">
        <v>134308.41778554881</v>
      </c>
      <c r="I860">
        <v>508624.66052978777</v>
      </c>
      <c r="J860">
        <v>7819204.4526951453</v>
      </c>
      <c r="K860" s="68">
        <v>8359550.3053804561</v>
      </c>
    </row>
    <row r="861" spans="1:11" x14ac:dyDescent="0.35">
      <c r="A861">
        <v>861</v>
      </c>
      <c r="B861">
        <v>4908.6108386398682</v>
      </c>
      <c r="C861">
        <v>10003.404705996127</v>
      </c>
      <c r="D861">
        <v>14226.177626569028</v>
      </c>
      <c r="E861">
        <v>24472.040100651593</v>
      </c>
      <c r="F861">
        <v>31081.168088124174</v>
      </c>
      <c r="G861">
        <v>50354.036192880696</v>
      </c>
      <c r="H861">
        <v>134461.69000145758</v>
      </c>
      <c r="I861">
        <v>508706.74849941977</v>
      </c>
      <c r="J861">
        <v>7819469.3748117834</v>
      </c>
      <c r="K861" s="68">
        <v>8363910.0025722692</v>
      </c>
    </row>
    <row r="862" spans="1:11" x14ac:dyDescent="0.35">
      <c r="A862">
        <v>862</v>
      </c>
      <c r="B862">
        <v>5047.4843326734335</v>
      </c>
      <c r="C862">
        <v>10035.34103012979</v>
      </c>
      <c r="D862">
        <v>14231.0386392121</v>
      </c>
      <c r="E862">
        <v>24501.623748421756</v>
      </c>
      <c r="F862">
        <v>31241.382613395075</v>
      </c>
      <c r="G862">
        <v>50371.75872789749</v>
      </c>
      <c r="H862">
        <v>134774.48550263169</v>
      </c>
      <c r="I862">
        <v>509473.01526627457</v>
      </c>
      <c r="J862">
        <v>7823721.9863816751</v>
      </c>
      <c r="K862" s="68">
        <v>8370195.9774595452</v>
      </c>
    </row>
    <row r="863" spans="1:11" x14ac:dyDescent="0.35">
      <c r="A863">
        <v>863</v>
      </c>
      <c r="B863">
        <v>5127.885590190559</v>
      </c>
      <c r="C863">
        <v>10329.986955048364</v>
      </c>
      <c r="D863">
        <v>14431.434129089123</v>
      </c>
      <c r="E863">
        <v>24591.950374530545</v>
      </c>
      <c r="F863">
        <v>31367.465451009029</v>
      </c>
      <c r="G863">
        <v>50535.160192242896</v>
      </c>
      <c r="H863">
        <v>134833.72799579194</v>
      </c>
      <c r="I863">
        <v>509842.9574584178</v>
      </c>
      <c r="J863">
        <v>7827247.6661648965</v>
      </c>
      <c r="K863" s="68">
        <v>8371960.4894227693</v>
      </c>
    </row>
    <row r="864" spans="1:11" x14ac:dyDescent="0.35">
      <c r="A864">
        <v>864</v>
      </c>
      <c r="B864">
        <v>5170.3909496200531</v>
      </c>
      <c r="C864">
        <v>10398.378806256809</v>
      </c>
      <c r="D864">
        <v>14517.20250455856</v>
      </c>
      <c r="E864">
        <v>24605.244620382124</v>
      </c>
      <c r="F864">
        <v>31659.663136215433</v>
      </c>
      <c r="G864">
        <v>50626.632406672201</v>
      </c>
      <c r="H864">
        <v>134871.50165840122</v>
      </c>
      <c r="I864">
        <v>509900.24049034278</v>
      </c>
      <c r="J864">
        <v>7829738.9072416369</v>
      </c>
      <c r="K864" s="68">
        <v>8379247.2910235105</v>
      </c>
    </row>
    <row r="865" spans="1:11" x14ac:dyDescent="0.35">
      <c r="A865">
        <v>865</v>
      </c>
      <c r="B865">
        <v>5314.512119109113</v>
      </c>
      <c r="C865">
        <v>10544.014290631398</v>
      </c>
      <c r="D865">
        <v>14636.174709294361</v>
      </c>
      <c r="E865">
        <v>24833.138347131302</v>
      </c>
      <c r="F865">
        <v>31942.855193400355</v>
      </c>
      <c r="G865">
        <v>50732.283783775325</v>
      </c>
      <c r="H865">
        <v>134876.62459843932</v>
      </c>
      <c r="I865">
        <v>510001.77212991618</v>
      </c>
      <c r="J865">
        <v>7832536.4753348771</v>
      </c>
      <c r="K865" s="68">
        <v>8380730.219653069</v>
      </c>
    </row>
    <row r="866" spans="1:11" x14ac:dyDescent="0.35">
      <c r="A866">
        <v>866</v>
      </c>
      <c r="B866">
        <v>5488.5849982206</v>
      </c>
      <c r="C866">
        <v>10660.417425029767</v>
      </c>
      <c r="D866">
        <v>14703.378637028682</v>
      </c>
      <c r="E866">
        <v>24871.491352995916</v>
      </c>
      <c r="F866">
        <v>32133.585991908101</v>
      </c>
      <c r="G866">
        <v>51167.797757419874</v>
      </c>
      <c r="H866">
        <v>135000.18007826412</v>
      </c>
      <c r="I866">
        <v>510740.49247906939</v>
      </c>
      <c r="J866">
        <v>7835657.7830659216</v>
      </c>
      <c r="K866" s="68">
        <v>8381702.4444411453</v>
      </c>
    </row>
    <row r="867" spans="1:11" x14ac:dyDescent="0.35">
      <c r="A867">
        <v>867</v>
      </c>
      <c r="B867">
        <v>5587.6586362510861</v>
      </c>
      <c r="C867">
        <v>10908.068467865745</v>
      </c>
      <c r="D867">
        <v>14734.788310768357</v>
      </c>
      <c r="E867">
        <v>24905.425604193286</v>
      </c>
      <c r="F867">
        <v>32165.254862207676</v>
      </c>
      <c r="G867">
        <v>51757.566586772504</v>
      </c>
      <c r="H867">
        <v>135946.94292480472</v>
      </c>
      <c r="I867">
        <v>511184.36011812615</v>
      </c>
      <c r="J867">
        <v>7838507.87821736</v>
      </c>
      <c r="K867" s="68">
        <v>8382887.975516743</v>
      </c>
    </row>
    <row r="868" spans="1:11" x14ac:dyDescent="0.35">
      <c r="A868">
        <v>868</v>
      </c>
      <c r="B868">
        <v>5591.887065316504</v>
      </c>
      <c r="C868">
        <v>11006.511590098211</v>
      </c>
      <c r="D868">
        <v>14868.317332272336</v>
      </c>
      <c r="E868">
        <v>25102.450543700535</v>
      </c>
      <c r="F868">
        <v>32239.37507865376</v>
      </c>
      <c r="G868">
        <v>52026.148733797767</v>
      </c>
      <c r="H868">
        <v>136236.7108511269</v>
      </c>
      <c r="I868">
        <v>511276.91869511927</v>
      </c>
      <c r="J868">
        <v>7841025.9357424844</v>
      </c>
      <c r="K868" s="68">
        <v>8382910.4306744533</v>
      </c>
    </row>
    <row r="869" spans="1:11" x14ac:dyDescent="0.35">
      <c r="A869">
        <v>869</v>
      </c>
      <c r="B869">
        <v>5717.4787797727095</v>
      </c>
      <c r="C869">
        <v>11102.510041222162</v>
      </c>
      <c r="D869">
        <v>14883.074167723917</v>
      </c>
      <c r="E869">
        <v>25482.330596602824</v>
      </c>
      <c r="F869">
        <v>32414.766401228069</v>
      </c>
      <c r="G869">
        <v>52530.373137545219</v>
      </c>
      <c r="H869">
        <v>136620.13964174193</v>
      </c>
      <c r="I869">
        <v>511508.64426585508</v>
      </c>
      <c r="J869">
        <v>7842193.7326179584</v>
      </c>
      <c r="K869" s="68">
        <v>8385072.3204631414</v>
      </c>
    </row>
    <row r="870" spans="1:11" x14ac:dyDescent="0.35">
      <c r="A870">
        <v>870</v>
      </c>
      <c r="B870">
        <v>5780.8844588684151</v>
      </c>
      <c r="C870">
        <v>11217.939421966679</v>
      </c>
      <c r="D870">
        <v>15048.550131803982</v>
      </c>
      <c r="E870">
        <v>25665.849969236373</v>
      </c>
      <c r="F870">
        <v>32879.587286375274</v>
      </c>
      <c r="G870">
        <v>52583.865859650912</v>
      </c>
      <c r="H870">
        <v>136976.51953244666</v>
      </c>
      <c r="I870">
        <v>512264.39173446613</v>
      </c>
      <c r="J870">
        <v>7845379.1198277641</v>
      </c>
      <c r="K870" s="68">
        <v>8385651.202810755</v>
      </c>
    </row>
    <row r="871" spans="1:11" x14ac:dyDescent="0.35">
      <c r="A871">
        <v>871</v>
      </c>
      <c r="B871">
        <v>5954.24182029652</v>
      </c>
      <c r="C871">
        <v>11227.3239581465</v>
      </c>
      <c r="D871">
        <v>15051.219724223758</v>
      </c>
      <c r="E871">
        <v>25725.429257352611</v>
      </c>
      <c r="F871">
        <v>33058.953669222465</v>
      </c>
      <c r="G871">
        <v>53090.482179427359</v>
      </c>
      <c r="H871">
        <v>137756.6847124366</v>
      </c>
      <c r="I871">
        <v>512951.51893417683</v>
      </c>
      <c r="J871">
        <v>7849089.9952407833</v>
      </c>
      <c r="K871" s="68">
        <v>8395059.0671496205</v>
      </c>
    </row>
    <row r="872" spans="1:11" x14ac:dyDescent="0.35">
      <c r="A872">
        <v>872</v>
      </c>
      <c r="B872">
        <v>5956.9139432546845</v>
      </c>
      <c r="C872">
        <v>11262.053947259034</v>
      </c>
      <c r="D872">
        <v>15113.683118259991</v>
      </c>
      <c r="E872">
        <v>25733.752485745696</v>
      </c>
      <c r="F872">
        <v>33274.144421074896</v>
      </c>
      <c r="G872">
        <v>53208.768184610526</v>
      </c>
      <c r="H872">
        <v>138373.30343863546</v>
      </c>
      <c r="I872">
        <v>513113.91775975813</v>
      </c>
      <c r="J872">
        <v>7851204.2470048526</v>
      </c>
      <c r="K872" s="68">
        <v>8395769.247501323</v>
      </c>
    </row>
    <row r="873" spans="1:11" x14ac:dyDescent="0.35">
      <c r="A873">
        <v>873</v>
      </c>
      <c r="B873">
        <v>5956.9180584520454</v>
      </c>
      <c r="C873">
        <v>11353.514620832928</v>
      </c>
      <c r="D873">
        <v>15149.896729077893</v>
      </c>
      <c r="E873">
        <v>26086.960326807755</v>
      </c>
      <c r="F873">
        <v>34117.381240962917</v>
      </c>
      <c r="G873">
        <v>53832.148596297637</v>
      </c>
      <c r="H873">
        <v>138939.42456085482</v>
      </c>
      <c r="I873">
        <v>514127.64091870695</v>
      </c>
      <c r="J873">
        <v>7854411.7900503222</v>
      </c>
      <c r="K873" s="68">
        <v>8407995.1444441993</v>
      </c>
    </row>
    <row r="874" spans="1:11" x14ac:dyDescent="0.35">
      <c r="A874">
        <v>874</v>
      </c>
      <c r="B874">
        <v>6025.0538231512573</v>
      </c>
      <c r="C874">
        <v>11408.710028347576</v>
      </c>
      <c r="D874">
        <v>15210.867817493579</v>
      </c>
      <c r="E874">
        <v>26284.957243693705</v>
      </c>
      <c r="F874">
        <v>34131.359155461505</v>
      </c>
      <c r="G874">
        <v>54067.217235719669</v>
      </c>
      <c r="H874">
        <v>139122.79259791182</v>
      </c>
      <c r="I874">
        <v>514145.05800026061</v>
      </c>
      <c r="J874">
        <v>7854703.2944304468</v>
      </c>
      <c r="K874" s="68">
        <v>8410012.882934643</v>
      </c>
    </row>
    <row r="875" spans="1:11" x14ac:dyDescent="0.35">
      <c r="A875">
        <v>875</v>
      </c>
      <c r="B875">
        <v>6210.5866233928355</v>
      </c>
      <c r="C875">
        <v>11476.453216373042</v>
      </c>
      <c r="D875">
        <v>15251.458515771172</v>
      </c>
      <c r="E875">
        <v>26954.431850701651</v>
      </c>
      <c r="F875">
        <v>34348.445019778817</v>
      </c>
      <c r="G875">
        <v>54476.406035943262</v>
      </c>
      <c r="H875">
        <v>139821.6100464515</v>
      </c>
      <c r="I875">
        <v>514148.51407397731</v>
      </c>
      <c r="J875">
        <v>7856313.7546987515</v>
      </c>
      <c r="K875" s="68">
        <v>8416406.7365722805</v>
      </c>
    </row>
    <row r="876" spans="1:11" x14ac:dyDescent="0.35">
      <c r="A876">
        <v>876</v>
      </c>
      <c r="B876">
        <v>6217.0364411039709</v>
      </c>
      <c r="C876">
        <v>11573.850687931781</v>
      </c>
      <c r="D876">
        <v>15539.918019083005</v>
      </c>
      <c r="E876">
        <v>27084.68557419147</v>
      </c>
      <c r="F876">
        <v>34739.96950517621</v>
      </c>
      <c r="G876">
        <v>54934.376033136679</v>
      </c>
      <c r="H876">
        <v>139940.30118404463</v>
      </c>
      <c r="I876">
        <v>514462.19050126633</v>
      </c>
      <c r="J876">
        <v>7856916.6041897433</v>
      </c>
      <c r="K876" s="68">
        <v>8418091.0976671055</v>
      </c>
    </row>
    <row r="877" spans="1:11" x14ac:dyDescent="0.35">
      <c r="A877">
        <v>877</v>
      </c>
      <c r="B877">
        <v>6276.6141172366952</v>
      </c>
      <c r="C877">
        <v>11756.629609167529</v>
      </c>
      <c r="D877">
        <v>15877.359344657363</v>
      </c>
      <c r="E877">
        <v>27104.118961676431</v>
      </c>
      <c r="F877">
        <v>34782.919527930819</v>
      </c>
      <c r="G877">
        <v>55029.863224934561</v>
      </c>
      <c r="H877">
        <v>140245.21075681393</v>
      </c>
      <c r="I877">
        <v>515031.45850030001</v>
      </c>
      <c r="J877">
        <v>7857387.8710338753</v>
      </c>
      <c r="K877" s="68">
        <v>8418430.1263949908</v>
      </c>
    </row>
    <row r="878" spans="1:11" x14ac:dyDescent="0.35">
      <c r="A878">
        <v>878</v>
      </c>
      <c r="B878">
        <v>6359.2722378131893</v>
      </c>
      <c r="C878">
        <v>11797.541148343529</v>
      </c>
      <c r="D878">
        <v>15984.279207307989</v>
      </c>
      <c r="E878">
        <v>27572.802207214016</v>
      </c>
      <c r="F878">
        <v>34888.121079172459</v>
      </c>
      <c r="G878">
        <v>55514.519879881031</v>
      </c>
      <c r="H878">
        <v>140381.29940491437</v>
      </c>
      <c r="I878">
        <v>515241.90940488689</v>
      </c>
      <c r="J878">
        <v>7863232.06498456</v>
      </c>
      <c r="K878" s="68">
        <v>8419480.0984466821</v>
      </c>
    </row>
    <row r="879" spans="1:11" x14ac:dyDescent="0.35">
      <c r="A879">
        <v>879</v>
      </c>
      <c r="B879">
        <v>6441.3225182146234</v>
      </c>
      <c r="C879">
        <v>11900.025172900609</v>
      </c>
      <c r="D879">
        <v>16024.561345914479</v>
      </c>
      <c r="E879">
        <v>27614.251135708648</v>
      </c>
      <c r="F879">
        <v>35113.708991426218</v>
      </c>
      <c r="G879">
        <v>55646.43604599715</v>
      </c>
      <c r="H879">
        <v>141433.88248213773</v>
      </c>
      <c r="I879">
        <v>515358.64500230411</v>
      </c>
      <c r="J879">
        <v>7869445.9087764034</v>
      </c>
      <c r="K879" s="68">
        <v>8425190.6001849603</v>
      </c>
    </row>
    <row r="880" spans="1:11" x14ac:dyDescent="0.35">
      <c r="A880">
        <v>880</v>
      </c>
      <c r="B880">
        <v>6759.3345768516783</v>
      </c>
      <c r="C880">
        <v>11936.658238147122</v>
      </c>
      <c r="D880">
        <v>16112.557023047146</v>
      </c>
      <c r="E880">
        <v>27752.341814366366</v>
      </c>
      <c r="F880">
        <v>35138.806410065023</v>
      </c>
      <c r="G880">
        <v>56185.889900825161</v>
      </c>
      <c r="H880">
        <v>141565.69771730082</v>
      </c>
      <c r="I880">
        <v>516219.486237604</v>
      </c>
      <c r="J880">
        <v>7872655.3272959273</v>
      </c>
      <c r="K880" s="68">
        <v>8425194.4461229183</v>
      </c>
    </row>
    <row r="881" spans="1:11" x14ac:dyDescent="0.35">
      <c r="A881">
        <v>881</v>
      </c>
      <c r="B881">
        <v>6964.7544946443695</v>
      </c>
      <c r="C881">
        <v>11984.050681256756</v>
      </c>
      <c r="D881">
        <v>16240.85778767898</v>
      </c>
      <c r="E881">
        <v>27912.079896300769</v>
      </c>
      <c r="F881">
        <v>35442.145957571018</v>
      </c>
      <c r="G881">
        <v>56662.899916330054</v>
      </c>
      <c r="H881">
        <v>141619.01822796362</v>
      </c>
      <c r="I881">
        <v>517518.13304098346</v>
      </c>
      <c r="J881">
        <v>7874712.3230248969</v>
      </c>
      <c r="K881" s="68">
        <v>8427282.1825759355</v>
      </c>
    </row>
    <row r="882" spans="1:11" x14ac:dyDescent="0.35">
      <c r="A882">
        <v>882</v>
      </c>
      <c r="B882">
        <v>7110.3319672187545</v>
      </c>
      <c r="C882">
        <v>12062.426053839061</v>
      </c>
      <c r="D882">
        <v>16352.654179804807</v>
      </c>
      <c r="E882">
        <v>28174.417308703487</v>
      </c>
      <c r="F882">
        <v>35450.813291196253</v>
      </c>
      <c r="G882">
        <v>56836.955082973727</v>
      </c>
      <c r="H882">
        <v>141835.55374449675</v>
      </c>
      <c r="I882">
        <v>517639.33938247006</v>
      </c>
      <c r="J882">
        <v>7876125.781930944</v>
      </c>
      <c r="K882" s="68">
        <v>8427822.2569040433</v>
      </c>
    </row>
    <row r="883" spans="1:11" x14ac:dyDescent="0.35">
      <c r="A883">
        <v>883</v>
      </c>
      <c r="B883">
        <v>7146.4055780523504</v>
      </c>
      <c r="C883">
        <v>12075.687411005156</v>
      </c>
      <c r="D883">
        <v>16377.894610027761</v>
      </c>
      <c r="E883">
        <v>28304.743655153139</v>
      </c>
      <c r="F883">
        <v>35906.433505865913</v>
      </c>
      <c r="G883">
        <v>57158.44111752983</v>
      </c>
      <c r="H883">
        <v>141875.32073968477</v>
      </c>
      <c r="I883">
        <v>519237.65324417903</v>
      </c>
      <c r="J883">
        <v>7876352.0762894908</v>
      </c>
      <c r="K883" s="68">
        <v>8430052.7189046293</v>
      </c>
    </row>
    <row r="884" spans="1:11" x14ac:dyDescent="0.35">
      <c r="A884">
        <v>884</v>
      </c>
      <c r="B884">
        <v>7362.8194123439171</v>
      </c>
      <c r="C884">
        <v>12276.312400718965</v>
      </c>
      <c r="D884">
        <v>16672.371511482233</v>
      </c>
      <c r="E884">
        <v>28936.785064708161</v>
      </c>
      <c r="F884">
        <v>36034.259435434898</v>
      </c>
      <c r="G884">
        <v>57463.59596562868</v>
      </c>
      <c r="H884">
        <v>142212.0826494467</v>
      </c>
      <c r="I884">
        <v>520908.97185236239</v>
      </c>
      <c r="J884">
        <v>7876887.060869351</v>
      </c>
      <c r="K884" s="68">
        <v>8430347.8631921988</v>
      </c>
    </row>
    <row r="885" spans="1:11" x14ac:dyDescent="0.35">
      <c r="A885">
        <v>885</v>
      </c>
      <c r="B885">
        <v>7375.1049328389263</v>
      </c>
      <c r="C885">
        <v>12355.47784590206</v>
      </c>
      <c r="D885">
        <v>16968.810673518925</v>
      </c>
      <c r="E885">
        <v>29252.820985908911</v>
      </c>
      <c r="F885">
        <v>36176.623823478185</v>
      </c>
      <c r="G885">
        <v>57787.045627596868</v>
      </c>
      <c r="H885">
        <v>143120.48000685917</v>
      </c>
      <c r="I885">
        <v>521760.97988512588</v>
      </c>
      <c r="J885">
        <v>7877089.1313532814</v>
      </c>
      <c r="K885" s="68">
        <v>8430532.4897411242</v>
      </c>
    </row>
    <row r="886" spans="1:11" x14ac:dyDescent="0.35">
      <c r="A886">
        <v>886</v>
      </c>
      <c r="B886">
        <v>7454.116741605957</v>
      </c>
      <c r="C886">
        <v>12488.778221549313</v>
      </c>
      <c r="D886">
        <v>17523.117158625813</v>
      </c>
      <c r="E886">
        <v>29930.006121756953</v>
      </c>
      <c r="F886">
        <v>36316.826217733535</v>
      </c>
      <c r="G886">
        <v>58322.132762195906</v>
      </c>
      <c r="H886">
        <v>143795.2922103694</v>
      </c>
      <c r="I886">
        <v>521838.08531601785</v>
      </c>
      <c r="J886">
        <v>7879715.3149080155</v>
      </c>
      <c r="K886" s="68">
        <v>8431555.4966650661</v>
      </c>
    </row>
    <row r="887" spans="1:11" x14ac:dyDescent="0.35">
      <c r="A887">
        <v>887</v>
      </c>
      <c r="B887">
        <v>7456.768173325253</v>
      </c>
      <c r="C887">
        <v>12670.1244192134</v>
      </c>
      <c r="D887">
        <v>17564.696274997652</v>
      </c>
      <c r="E887">
        <v>30092.076916984173</v>
      </c>
      <c r="F887">
        <v>36572.673943346759</v>
      </c>
      <c r="G887">
        <v>58335.566857541751</v>
      </c>
      <c r="H887">
        <v>144112.48722859766</v>
      </c>
      <c r="I887">
        <v>522748.76196242491</v>
      </c>
      <c r="J887">
        <v>7886840.5582498489</v>
      </c>
      <c r="K887" s="68">
        <v>8434439.63945386</v>
      </c>
    </row>
    <row r="888" spans="1:11" x14ac:dyDescent="0.35">
      <c r="A888">
        <v>888</v>
      </c>
      <c r="B888">
        <v>7491.8214401606165</v>
      </c>
      <c r="C888">
        <v>12850.438165840125</v>
      </c>
      <c r="D888">
        <v>17817.109346576195</v>
      </c>
      <c r="E888">
        <v>30187.208965242542</v>
      </c>
      <c r="F888">
        <v>36827.396152933681</v>
      </c>
      <c r="G888">
        <v>58443.514811855021</v>
      </c>
      <c r="H888">
        <v>144308.49635980214</v>
      </c>
      <c r="I888">
        <v>523339.74582994817</v>
      </c>
      <c r="J888">
        <v>7889002.3330906834</v>
      </c>
      <c r="K888" s="68">
        <v>8443855.0259578768</v>
      </c>
    </row>
    <row r="889" spans="1:11" x14ac:dyDescent="0.35">
      <c r="A889">
        <v>889</v>
      </c>
      <c r="B889">
        <v>7662.7843018449721</v>
      </c>
      <c r="C889">
        <v>12869.786372634926</v>
      </c>
      <c r="D889">
        <v>17886.407828303025</v>
      </c>
      <c r="E889">
        <v>30428.044898880296</v>
      </c>
      <c r="F889">
        <v>37309.044228546023</v>
      </c>
      <c r="G889">
        <v>58487.418934194968</v>
      </c>
      <c r="H889">
        <v>144833.20484512008</v>
      </c>
      <c r="I889">
        <v>523961.16733372927</v>
      </c>
      <c r="J889">
        <v>7890540.4887678633</v>
      </c>
      <c r="K889" s="68">
        <v>8448739.5920071043</v>
      </c>
    </row>
    <row r="890" spans="1:11" x14ac:dyDescent="0.35">
      <c r="A890">
        <v>890</v>
      </c>
      <c r="B890">
        <v>7822.3041107071604</v>
      </c>
      <c r="C890">
        <v>13014.721198275338</v>
      </c>
      <c r="D890">
        <v>17993.527954589819</v>
      </c>
      <c r="E890">
        <v>30430.330781360404</v>
      </c>
      <c r="F890">
        <v>37677.016066502008</v>
      </c>
      <c r="G890">
        <v>58824.608634895529</v>
      </c>
      <c r="H890">
        <v>145766.49661817268</v>
      </c>
      <c r="I890">
        <v>524392.19621134049</v>
      </c>
      <c r="J890">
        <v>7900004.5780740166</v>
      </c>
      <c r="K890" s="68">
        <v>8451900.0870629083</v>
      </c>
    </row>
    <row r="891" spans="1:11" x14ac:dyDescent="0.35">
      <c r="A891">
        <v>891</v>
      </c>
      <c r="B891">
        <v>7896.6661358272586</v>
      </c>
      <c r="C891">
        <v>13321.066210279927</v>
      </c>
      <c r="D891">
        <v>18137.270324342549</v>
      </c>
      <c r="E891">
        <v>30559.039736538325</v>
      </c>
      <c r="F891">
        <v>37801.002121171347</v>
      </c>
      <c r="G891">
        <v>59899.713425675931</v>
      </c>
      <c r="H891">
        <v>145782.77950668579</v>
      </c>
      <c r="I891">
        <v>525188.17284071201</v>
      </c>
      <c r="J891">
        <v>7901743.792485428</v>
      </c>
      <c r="K891" s="68">
        <v>8453568.4544855617</v>
      </c>
    </row>
    <row r="892" spans="1:11" x14ac:dyDescent="0.35">
      <c r="A892">
        <v>892</v>
      </c>
      <c r="B892">
        <v>7998.8694802299369</v>
      </c>
      <c r="C892">
        <v>13370.945747580317</v>
      </c>
      <c r="D892">
        <v>18385.510385120502</v>
      </c>
      <c r="E892">
        <v>30601.995759039084</v>
      </c>
      <c r="F892">
        <v>38054.378453257741</v>
      </c>
      <c r="G892">
        <v>60418.367375245696</v>
      </c>
      <c r="H892">
        <v>145845.25667981608</v>
      </c>
      <c r="I892">
        <v>526223.76410664443</v>
      </c>
      <c r="J892">
        <v>7902039.0768007208</v>
      </c>
      <c r="K892" s="68">
        <v>8453612.0353808552</v>
      </c>
    </row>
    <row r="893" spans="1:11" x14ac:dyDescent="0.35">
      <c r="A893">
        <v>893</v>
      </c>
      <c r="B893">
        <v>8091.6460329830797</v>
      </c>
      <c r="C893">
        <v>13556.209445100871</v>
      </c>
      <c r="D893">
        <v>18457.879392259129</v>
      </c>
      <c r="E893">
        <v>30651.164564289818</v>
      </c>
      <c r="F893">
        <v>38330.814044075567</v>
      </c>
      <c r="G893">
        <v>60428.263508676959</v>
      </c>
      <c r="H893">
        <v>146248.34676048986</v>
      </c>
      <c r="I893">
        <v>527606.0327126357</v>
      </c>
      <c r="J893">
        <v>7908031.322142832</v>
      </c>
      <c r="K893" s="68">
        <v>8454301.6209471244</v>
      </c>
    </row>
    <row r="894" spans="1:11" x14ac:dyDescent="0.35">
      <c r="A894">
        <v>894</v>
      </c>
      <c r="B894">
        <v>8300.8431875274982</v>
      </c>
      <c r="C894">
        <v>13698.734025526152</v>
      </c>
      <c r="D894">
        <v>18597.334913612802</v>
      </c>
      <c r="E894">
        <v>30663.459692169112</v>
      </c>
      <c r="F894">
        <v>38445.596749077915</v>
      </c>
      <c r="G894">
        <v>60569.855110606622</v>
      </c>
      <c r="H894">
        <v>146363.55615870128</v>
      </c>
      <c r="I894">
        <v>528173.55023294454</v>
      </c>
      <c r="J894">
        <v>7908928.6368852779</v>
      </c>
      <c r="K894" s="68">
        <v>8456589.0293591805</v>
      </c>
    </row>
    <row r="895" spans="1:11" x14ac:dyDescent="0.35">
      <c r="A895">
        <v>895</v>
      </c>
      <c r="B895">
        <v>8302.9980196476936</v>
      </c>
      <c r="C895">
        <v>13789.226303408965</v>
      </c>
      <c r="D895">
        <v>18849.952009910106</v>
      </c>
      <c r="E895">
        <v>30675.635495785205</v>
      </c>
      <c r="F895">
        <v>38689.279539669646</v>
      </c>
      <c r="G895">
        <v>60672.147400158065</v>
      </c>
      <c r="H895">
        <v>146483.08034443736</v>
      </c>
      <c r="I895">
        <v>529648.14770428126</v>
      </c>
      <c r="J895">
        <v>7910984.5272814324</v>
      </c>
      <c r="K895" s="68">
        <v>8466512.5131268091</v>
      </c>
    </row>
    <row r="896" spans="1:11" x14ac:dyDescent="0.35">
      <c r="A896">
        <v>896</v>
      </c>
      <c r="B896">
        <v>8544.8253355213546</v>
      </c>
      <c r="C896">
        <v>13798.447359233282</v>
      </c>
      <c r="D896">
        <v>18960.738993911102</v>
      </c>
      <c r="E896">
        <v>31383.962074007984</v>
      </c>
      <c r="F896">
        <v>38904.128084103635</v>
      </c>
      <c r="G896">
        <v>61351.355214094307</v>
      </c>
      <c r="H896">
        <v>147160.57776544921</v>
      </c>
      <c r="I896">
        <v>529869.19771607965</v>
      </c>
      <c r="J896">
        <v>7914128.3734011455</v>
      </c>
      <c r="K896" s="68">
        <v>8477293.9221785404</v>
      </c>
    </row>
    <row r="897" spans="1:11" x14ac:dyDescent="0.35">
      <c r="A897">
        <v>897</v>
      </c>
      <c r="B897">
        <v>8562.7497120579847</v>
      </c>
      <c r="C897">
        <v>14660.723399168697</v>
      </c>
      <c r="D897">
        <v>19010.952800167881</v>
      </c>
      <c r="E897">
        <v>31716.143025351696</v>
      </c>
      <c r="F897">
        <v>38997.333622069957</v>
      </c>
      <c r="G897">
        <v>61631.742751263875</v>
      </c>
      <c r="H897">
        <v>147518.86288583919</v>
      </c>
      <c r="I897">
        <v>530770.68044468341</v>
      </c>
      <c r="J897">
        <v>7914615.1833494063</v>
      </c>
      <c r="K897" s="68">
        <v>8477827.5009327531</v>
      </c>
    </row>
    <row r="898" spans="1:11" x14ac:dyDescent="0.35">
      <c r="A898">
        <v>898</v>
      </c>
      <c r="B898">
        <v>8614.7826552409442</v>
      </c>
      <c r="C898">
        <v>14757.329966939104</v>
      </c>
      <c r="D898">
        <v>19088.540508859038</v>
      </c>
      <c r="E898">
        <v>32235.259938821582</v>
      </c>
      <c r="F898">
        <v>39843.468829309299</v>
      </c>
      <c r="G898">
        <v>62126.104583351284</v>
      </c>
      <c r="H898">
        <v>148374.77015732706</v>
      </c>
      <c r="I898">
        <v>531456.54671658098</v>
      </c>
      <c r="J898">
        <v>7917654.6274822624</v>
      </c>
      <c r="K898" s="68">
        <v>8482170.4148345683</v>
      </c>
    </row>
    <row r="899" spans="1:11" x14ac:dyDescent="0.35">
      <c r="A899">
        <v>899</v>
      </c>
      <c r="B899">
        <v>8670.2297945930914</v>
      </c>
      <c r="C899">
        <v>14969.100438209991</v>
      </c>
      <c r="D899">
        <v>19205.456628766267</v>
      </c>
      <c r="E899">
        <v>32433.829931461758</v>
      </c>
      <c r="F899">
        <v>39946.857179391729</v>
      </c>
      <c r="G899">
        <v>62199.213350127611</v>
      </c>
      <c r="H899">
        <v>148483.83428942066</v>
      </c>
      <c r="I899">
        <v>532791.09467878169</v>
      </c>
      <c r="J899">
        <v>7918339.4848876121</v>
      </c>
      <c r="K899" s="68">
        <v>8484557.394822415</v>
      </c>
    </row>
    <row r="900" spans="1:11" x14ac:dyDescent="0.35">
      <c r="A900">
        <v>900</v>
      </c>
      <c r="B900">
        <v>8691.7939963000063</v>
      </c>
      <c r="C900">
        <v>15207.744756621971</v>
      </c>
      <c r="D900">
        <v>19323.75997709918</v>
      </c>
      <c r="E900">
        <v>32568.766465624132</v>
      </c>
      <c r="F900">
        <v>39975.076864335613</v>
      </c>
      <c r="G900">
        <v>62452.307980141661</v>
      </c>
      <c r="H900">
        <v>148610.32741367992</v>
      </c>
      <c r="I900">
        <v>533632.62783000187</v>
      </c>
      <c r="J900">
        <v>7924375.084760719</v>
      </c>
      <c r="K900" s="68">
        <v>8484880.5200455021</v>
      </c>
    </row>
    <row r="901" spans="1:11" x14ac:dyDescent="0.35">
      <c r="A901">
        <v>901</v>
      </c>
      <c r="B901">
        <v>8798.1542003554605</v>
      </c>
      <c r="C901">
        <v>15461.31431078791</v>
      </c>
      <c r="D901">
        <v>19419.461744364526</v>
      </c>
      <c r="E901">
        <v>32584.312239586936</v>
      </c>
      <c r="F901">
        <v>40076.360246567165</v>
      </c>
      <c r="G901">
        <v>62526.907550539399</v>
      </c>
      <c r="H901">
        <v>148969.54329926876</v>
      </c>
      <c r="I901">
        <v>534590.10346323601</v>
      </c>
      <c r="J901">
        <v>7924470.3833687613</v>
      </c>
      <c r="K901" s="68">
        <v>8485810.7052242365</v>
      </c>
    </row>
    <row r="902" spans="1:11" x14ac:dyDescent="0.35">
      <c r="A902">
        <v>902</v>
      </c>
      <c r="B902">
        <v>9182.0207262812801</v>
      </c>
      <c r="C902">
        <v>15677.666410490794</v>
      </c>
      <c r="D902">
        <v>19536.032744757897</v>
      </c>
      <c r="E902">
        <v>32683.727140630886</v>
      </c>
      <c r="F902">
        <v>40382.14257023792</v>
      </c>
      <c r="G902">
        <v>62777.93002122968</v>
      </c>
      <c r="H902">
        <v>149104.69984076434</v>
      </c>
      <c r="I902">
        <v>535031.31013266789</v>
      </c>
      <c r="J902">
        <v>7926750.323924141</v>
      </c>
      <c r="K902" s="68">
        <v>8487629.8131261915</v>
      </c>
    </row>
    <row r="903" spans="1:11" x14ac:dyDescent="0.35">
      <c r="A903">
        <v>903</v>
      </c>
      <c r="B903">
        <v>9796.8905620174683</v>
      </c>
      <c r="C903">
        <v>15728.000878058005</v>
      </c>
      <c r="D903">
        <v>19548.97354090212</v>
      </c>
      <c r="E903">
        <v>32760.615792723551</v>
      </c>
      <c r="F903">
        <v>40749.129787349448</v>
      </c>
      <c r="G903">
        <v>63050.40411411794</v>
      </c>
      <c r="H903">
        <v>150196.2992322905</v>
      </c>
      <c r="I903">
        <v>536047.64174961112</v>
      </c>
      <c r="J903">
        <v>7928792.2007093169</v>
      </c>
      <c r="K903" s="68">
        <v>8490525.2183990367</v>
      </c>
    </row>
    <row r="904" spans="1:11" x14ac:dyDescent="0.35">
      <c r="A904">
        <v>904</v>
      </c>
      <c r="B904">
        <v>10123.751162900062</v>
      </c>
      <c r="C904">
        <v>15819.993030871858</v>
      </c>
      <c r="D904">
        <v>19688.505487814575</v>
      </c>
      <c r="E904">
        <v>32828.443134904584</v>
      </c>
      <c r="F904">
        <v>41246.729200144655</v>
      </c>
      <c r="G904">
        <v>63118.409798903202</v>
      </c>
      <c r="H904">
        <v>150746.68387559056</v>
      </c>
      <c r="I904">
        <v>536666.91040575586</v>
      </c>
      <c r="J904">
        <v>7933279.6138270907</v>
      </c>
      <c r="K904" s="68">
        <v>8494301.8967093602</v>
      </c>
    </row>
    <row r="905" spans="1:11" x14ac:dyDescent="0.35">
      <c r="A905">
        <v>905</v>
      </c>
      <c r="B905">
        <v>10133.825352945805</v>
      </c>
      <c r="C905">
        <v>16257.222567617744</v>
      </c>
      <c r="D905">
        <v>19689.340658777008</v>
      </c>
      <c r="E905">
        <v>33156.611001711499</v>
      </c>
      <c r="F905">
        <v>41249.083222328387</v>
      </c>
      <c r="G905">
        <v>63190.760471507376</v>
      </c>
      <c r="H905">
        <v>151867.19626152993</v>
      </c>
      <c r="I905">
        <v>536979.03362444555</v>
      </c>
      <c r="J905">
        <v>7936462.8884012783</v>
      </c>
      <c r="K905" s="68">
        <v>8497392.697526386</v>
      </c>
    </row>
    <row r="906" spans="1:11" x14ac:dyDescent="0.35">
      <c r="A906">
        <v>906</v>
      </c>
      <c r="B906">
        <v>10169.623578724239</v>
      </c>
      <c r="C906">
        <v>16283.73706957471</v>
      </c>
      <c r="D906">
        <v>19777.138111496679</v>
      </c>
      <c r="E906">
        <v>33241.101547337581</v>
      </c>
      <c r="F906">
        <v>41813.423835248046</v>
      </c>
      <c r="G906">
        <v>63606.221376347923</v>
      </c>
      <c r="H906">
        <v>151894.56305556776</v>
      </c>
      <c r="I906">
        <v>537440.71712445875</v>
      </c>
      <c r="J906">
        <v>7938729.5182204461</v>
      </c>
      <c r="K906" s="68">
        <v>8500104.5387454685</v>
      </c>
    </row>
    <row r="907" spans="1:11" x14ac:dyDescent="0.35">
      <c r="A907">
        <v>907</v>
      </c>
      <c r="B907">
        <v>10207.179729574831</v>
      </c>
      <c r="C907">
        <v>16378.798799702476</v>
      </c>
      <c r="D907">
        <v>20282.628754213805</v>
      </c>
      <c r="E907">
        <v>33284.932380232865</v>
      </c>
      <c r="F907">
        <v>42357.961472236595</v>
      </c>
      <c r="G907">
        <v>64821.362434648348</v>
      </c>
      <c r="H907">
        <v>152293.23325883513</v>
      </c>
      <c r="I907">
        <v>537655.89170985809</v>
      </c>
      <c r="J907">
        <v>7950165.516861897</v>
      </c>
      <c r="K907" s="68">
        <v>8501088.3274369389</v>
      </c>
    </row>
    <row r="908" spans="1:11" x14ac:dyDescent="0.35">
      <c r="A908">
        <v>908</v>
      </c>
      <c r="B908">
        <v>10336.057200510168</v>
      </c>
      <c r="C908">
        <v>16633.303400647899</v>
      </c>
      <c r="D908">
        <v>20324.757254742384</v>
      </c>
      <c r="E908">
        <v>33346.86394232577</v>
      </c>
      <c r="F908">
        <v>42856.319865726473</v>
      </c>
      <c r="G908">
        <v>65620.163785212295</v>
      </c>
      <c r="H908">
        <v>154542.19527986489</v>
      </c>
      <c r="I908">
        <v>537928.67886882438</v>
      </c>
      <c r="J908">
        <v>7953062.0312748589</v>
      </c>
      <c r="K908" s="68">
        <v>8505019.59605949</v>
      </c>
    </row>
    <row r="909" spans="1:11" x14ac:dyDescent="0.35">
      <c r="A909">
        <v>909</v>
      </c>
      <c r="B909">
        <v>10369.28621078321</v>
      </c>
      <c r="C909">
        <v>16757.732975069441</v>
      </c>
      <c r="D909">
        <v>20340.479765920816</v>
      </c>
      <c r="E909">
        <v>33446.569589055413</v>
      </c>
      <c r="F909">
        <v>42914.162052015803</v>
      </c>
      <c r="G909">
        <v>65996.476429549119</v>
      </c>
      <c r="H909">
        <v>156213.90115036545</v>
      </c>
      <c r="I909">
        <v>538374.70842906635</v>
      </c>
      <c r="J909">
        <v>7954503.1272794148</v>
      </c>
      <c r="K909" s="68">
        <v>8509761.8053306621</v>
      </c>
    </row>
    <row r="910" spans="1:11" x14ac:dyDescent="0.35">
      <c r="A910">
        <v>910</v>
      </c>
      <c r="B910">
        <v>10374.056751434526</v>
      </c>
      <c r="C910">
        <v>17005.822587116327</v>
      </c>
      <c r="D910">
        <v>20622.013855793804</v>
      </c>
      <c r="E910">
        <v>33557.022997139604</v>
      </c>
      <c r="F910">
        <v>43169.971784362118</v>
      </c>
      <c r="G910">
        <v>66632.583966007194</v>
      </c>
      <c r="H910">
        <v>156262.72097009979</v>
      </c>
      <c r="I910">
        <v>540496.70210327022</v>
      </c>
      <c r="J910">
        <v>7959219.057816592</v>
      </c>
      <c r="K910" s="68">
        <v>8510893.1361370943</v>
      </c>
    </row>
    <row r="911" spans="1:11" x14ac:dyDescent="0.35">
      <c r="A911">
        <v>911</v>
      </c>
      <c r="B911">
        <v>10377.049017931595</v>
      </c>
      <c r="C911">
        <v>17012.296741143291</v>
      </c>
      <c r="D911">
        <v>20699.103949850363</v>
      </c>
      <c r="E911">
        <v>33623.479036314253</v>
      </c>
      <c r="F911">
        <v>43718.522084587501</v>
      </c>
      <c r="G911">
        <v>66760.594402832401</v>
      </c>
      <c r="H911">
        <v>156879.12641957443</v>
      </c>
      <c r="I911">
        <v>540794.00998707069</v>
      </c>
      <c r="J911">
        <v>7960439.5579122184</v>
      </c>
      <c r="K911" s="68">
        <v>8517944.0485494398</v>
      </c>
    </row>
    <row r="912" spans="1:11" x14ac:dyDescent="0.35">
      <c r="A912">
        <v>912</v>
      </c>
      <c r="B912">
        <v>10414.693284973981</v>
      </c>
      <c r="C912">
        <v>17048.854861425825</v>
      </c>
      <c r="D912">
        <v>20868.94241597084</v>
      </c>
      <c r="E912">
        <v>33738.719036413015</v>
      </c>
      <c r="F912">
        <v>44115.962759531547</v>
      </c>
      <c r="G912">
        <v>66794.443273023251</v>
      </c>
      <c r="H912">
        <v>157366.66996418728</v>
      </c>
      <c r="I912">
        <v>541863.6082019452</v>
      </c>
      <c r="J912">
        <v>7962208.7279521888</v>
      </c>
      <c r="K912" s="68">
        <v>8518798.8118770383</v>
      </c>
    </row>
    <row r="913" spans="1:11" x14ac:dyDescent="0.35">
      <c r="A913">
        <v>913</v>
      </c>
      <c r="B913">
        <v>10498.284389722365</v>
      </c>
      <c r="C913">
        <v>17370.089982329322</v>
      </c>
      <c r="D913">
        <v>21078.124335856992</v>
      </c>
      <c r="E913">
        <v>34010.772398953646</v>
      </c>
      <c r="F913">
        <v>44909.582171125337</v>
      </c>
      <c r="G913">
        <v>66810.253126174575</v>
      </c>
      <c r="H913">
        <v>158207.10143376247</v>
      </c>
      <c r="I913">
        <v>544858.08821630862</v>
      </c>
      <c r="J913">
        <v>7966124.0226768535</v>
      </c>
      <c r="K913" s="68">
        <v>8527543.7770766467</v>
      </c>
    </row>
    <row r="914" spans="1:11" x14ac:dyDescent="0.35">
      <c r="A914">
        <v>914</v>
      </c>
      <c r="B914">
        <v>10685.233280188724</v>
      </c>
      <c r="C914">
        <v>17872.572798100668</v>
      </c>
      <c r="D914">
        <v>21167.847869699199</v>
      </c>
      <c r="E914">
        <v>34672.233721257886</v>
      </c>
      <c r="F914">
        <v>45105.653928157713</v>
      </c>
      <c r="G914">
        <v>67231.190030438127</v>
      </c>
      <c r="H914">
        <v>158634.54042099725</v>
      </c>
      <c r="I914">
        <v>545603.71400607063</v>
      </c>
      <c r="J914">
        <v>7966984.8594379155</v>
      </c>
      <c r="K914" s="68">
        <v>8528096.7117070854</v>
      </c>
    </row>
    <row r="915" spans="1:11" x14ac:dyDescent="0.35">
      <c r="A915">
        <v>915</v>
      </c>
      <c r="B915">
        <v>10731.228623246367</v>
      </c>
      <c r="C915">
        <v>17954.875807147557</v>
      </c>
      <c r="D915">
        <v>22243.939220265151</v>
      </c>
      <c r="E915">
        <v>34711.549870038689</v>
      </c>
      <c r="F915">
        <v>45205.046302359842</v>
      </c>
      <c r="G915">
        <v>67468.814272561984</v>
      </c>
      <c r="H915">
        <v>159091.19155465544</v>
      </c>
      <c r="I915">
        <v>546570.71251130442</v>
      </c>
      <c r="J915">
        <v>7971534.141252785</v>
      </c>
      <c r="K915" s="68">
        <v>8530248.2312869113</v>
      </c>
    </row>
    <row r="916" spans="1:11" x14ac:dyDescent="0.35">
      <c r="A916">
        <v>916</v>
      </c>
      <c r="B916">
        <v>10789.695542600484</v>
      </c>
      <c r="C916">
        <v>18361.950866241517</v>
      </c>
      <c r="D916">
        <v>22519.730717886687</v>
      </c>
      <c r="E916">
        <v>34924.878449395605</v>
      </c>
      <c r="F916">
        <v>45465.734008443527</v>
      </c>
      <c r="G916">
        <v>67571.984675409461</v>
      </c>
      <c r="H916">
        <v>159766.83757532513</v>
      </c>
      <c r="I916">
        <v>547245.34918929276</v>
      </c>
      <c r="J916">
        <v>7981227.3892476447</v>
      </c>
      <c r="K916" s="68">
        <v>8540291.6548638958</v>
      </c>
    </row>
    <row r="917" spans="1:11" x14ac:dyDescent="0.35">
      <c r="A917">
        <v>917</v>
      </c>
      <c r="B917">
        <v>10796.084003623224</v>
      </c>
      <c r="C917">
        <v>19108.90692413901</v>
      </c>
      <c r="D917">
        <v>22546.958036616041</v>
      </c>
      <c r="E917">
        <v>35755.118479389421</v>
      </c>
      <c r="F917">
        <v>46342.966912633652</v>
      </c>
      <c r="G917">
        <v>67660.138435604109</v>
      </c>
      <c r="H917">
        <v>160671.37021800122</v>
      </c>
      <c r="I917">
        <v>547979.46111718251</v>
      </c>
      <c r="J917">
        <v>7985041.4481982198</v>
      </c>
      <c r="K917" s="68">
        <v>8547197.4656440429</v>
      </c>
    </row>
    <row r="918" spans="1:11" x14ac:dyDescent="0.35">
      <c r="A918">
        <v>918</v>
      </c>
      <c r="B918">
        <v>10808.746671683817</v>
      </c>
      <c r="C918">
        <v>19144.441841535707</v>
      </c>
      <c r="D918">
        <v>22881.290099860358</v>
      </c>
      <c r="E918">
        <v>35873.099070034375</v>
      </c>
      <c r="F918">
        <v>47031.344569751127</v>
      </c>
      <c r="G918">
        <v>68199.630103268122</v>
      </c>
      <c r="H918">
        <v>160981.58912151263</v>
      </c>
      <c r="I918">
        <v>549224.99902841588</v>
      </c>
      <c r="J918">
        <v>7985098.1632496053</v>
      </c>
      <c r="K918" s="68">
        <v>8548977.8703839146</v>
      </c>
    </row>
    <row r="919" spans="1:11" x14ac:dyDescent="0.35">
      <c r="A919">
        <v>919</v>
      </c>
      <c r="B919">
        <v>11080.096885272114</v>
      </c>
      <c r="C919">
        <v>19218.607040706374</v>
      </c>
      <c r="D919">
        <v>23470.162245976837</v>
      </c>
      <c r="E919">
        <v>36379.991902325804</v>
      </c>
      <c r="F919">
        <v>47128.445362318365</v>
      </c>
      <c r="G919">
        <v>68394.344807695496</v>
      </c>
      <c r="H919">
        <v>161458.19374705484</v>
      </c>
      <c r="I919">
        <v>549927.09463765856</v>
      </c>
      <c r="J919">
        <v>7988479.5158928623</v>
      </c>
      <c r="K919" s="68">
        <v>8551281.5669755191</v>
      </c>
    </row>
    <row r="920" spans="1:11" x14ac:dyDescent="0.35">
      <c r="A920">
        <v>920</v>
      </c>
      <c r="B920">
        <v>11565.054299699041</v>
      </c>
      <c r="C920">
        <v>19751.362393508556</v>
      </c>
      <c r="D920">
        <v>23644.110000932877</v>
      </c>
      <c r="E920">
        <v>36699.768302605931</v>
      </c>
      <c r="F920">
        <v>47219.595813890242</v>
      </c>
      <c r="G920">
        <v>68786.91000585421</v>
      </c>
      <c r="H920">
        <v>161521.61728807481</v>
      </c>
      <c r="I920">
        <v>551024.94262763858</v>
      </c>
      <c r="J920">
        <v>7989875.4077347592</v>
      </c>
      <c r="K920" s="68">
        <v>8553599.9829878416</v>
      </c>
    </row>
    <row r="921" spans="1:11" x14ac:dyDescent="0.35">
      <c r="A921">
        <v>921</v>
      </c>
      <c r="B921">
        <v>11583.501517623234</v>
      </c>
      <c r="C921">
        <v>20305.59529649129</v>
      </c>
      <c r="D921">
        <v>23659.636395536952</v>
      </c>
      <c r="E921">
        <v>36915.317253051035</v>
      </c>
      <c r="F921">
        <v>47444.533952351885</v>
      </c>
      <c r="G921">
        <v>69337.934647156537</v>
      </c>
      <c r="H921">
        <v>162265.27990927352</v>
      </c>
      <c r="I921">
        <v>551067.62976280088</v>
      </c>
      <c r="J921">
        <v>7990077.5476092473</v>
      </c>
      <c r="K921" s="68">
        <v>8563436.4012718517</v>
      </c>
    </row>
    <row r="922" spans="1:11" x14ac:dyDescent="0.35">
      <c r="A922">
        <v>922</v>
      </c>
      <c r="B922">
        <v>11812.917690099537</v>
      </c>
      <c r="C922">
        <v>20407.34442474828</v>
      </c>
      <c r="D922">
        <v>23678.060236646499</v>
      </c>
      <c r="E922">
        <v>37018.317848331208</v>
      </c>
      <c r="F922">
        <v>47743.2009599538</v>
      </c>
      <c r="G922">
        <v>69406.167827082798</v>
      </c>
      <c r="H922">
        <v>163344.1251223624</v>
      </c>
      <c r="I922">
        <v>551581.99205431272</v>
      </c>
      <c r="J922">
        <v>7995482.3629973726</v>
      </c>
      <c r="K922" s="68">
        <v>8564593.1824384164</v>
      </c>
    </row>
    <row r="923" spans="1:11" x14ac:dyDescent="0.35">
      <c r="A923">
        <v>923</v>
      </c>
      <c r="B923">
        <v>11864.089513039715</v>
      </c>
      <c r="C923">
        <v>20957.549643429105</v>
      </c>
      <c r="D923">
        <v>24455.675118018855</v>
      </c>
      <c r="E923">
        <v>37096.152242012875</v>
      </c>
      <c r="F923">
        <v>47807.40285172619</v>
      </c>
      <c r="G923">
        <v>69465.727536228529</v>
      </c>
      <c r="H923">
        <v>164326.4235845056</v>
      </c>
      <c r="I923">
        <v>552480.7584641939</v>
      </c>
      <c r="J923">
        <v>7997069.0597462161</v>
      </c>
      <c r="K923" s="68">
        <v>8566100.356524162</v>
      </c>
    </row>
    <row r="924" spans="1:11" x14ac:dyDescent="0.35">
      <c r="A924">
        <v>924</v>
      </c>
      <c r="B924">
        <v>11895.398895160437</v>
      </c>
      <c r="C924">
        <v>20981.743281433253</v>
      </c>
      <c r="D924">
        <v>24610.046173989598</v>
      </c>
      <c r="E924">
        <v>37150.698261170321</v>
      </c>
      <c r="F924">
        <v>48391.004700848789</v>
      </c>
      <c r="G924">
        <v>69722.36438593491</v>
      </c>
      <c r="H924">
        <v>165285.92090283456</v>
      </c>
      <c r="I924">
        <v>552673.37446604576</v>
      </c>
      <c r="J924">
        <v>7999220.6325060874</v>
      </c>
      <c r="K924" s="68">
        <v>8569357.6137255915</v>
      </c>
    </row>
    <row r="925" spans="1:11" x14ac:dyDescent="0.35">
      <c r="A925">
        <v>925</v>
      </c>
      <c r="B925">
        <v>12144.87678965242</v>
      </c>
      <c r="C925">
        <v>21434.695592807275</v>
      </c>
      <c r="D925">
        <v>24841.987860332101</v>
      </c>
      <c r="E925">
        <v>37456.912961405345</v>
      </c>
      <c r="F925">
        <v>49390.261421091345</v>
      </c>
      <c r="G925">
        <v>69946.199166807026</v>
      </c>
      <c r="H925">
        <v>165332.44459957778</v>
      </c>
      <c r="I925">
        <v>552806.58286734507</v>
      </c>
      <c r="J925">
        <v>8000128.4445480173</v>
      </c>
      <c r="K925" s="68">
        <v>8572379.6132093146</v>
      </c>
    </row>
    <row r="926" spans="1:11" x14ac:dyDescent="0.35">
      <c r="A926">
        <v>926</v>
      </c>
      <c r="B926">
        <v>12942.679818716781</v>
      </c>
      <c r="C926">
        <v>21526.036413570517</v>
      </c>
      <c r="D926">
        <v>25025.649225148958</v>
      </c>
      <c r="E926">
        <v>37474.116442783816</v>
      </c>
      <c r="F926">
        <v>49689.527593798011</v>
      </c>
      <c r="G926">
        <v>70806.250273673708</v>
      </c>
      <c r="H926">
        <v>165400.4314076427</v>
      </c>
      <c r="I926">
        <v>552808.32755438145</v>
      </c>
      <c r="J926">
        <v>8008434.3630983038</v>
      </c>
      <c r="K926" s="68">
        <v>8573232.0604043528</v>
      </c>
    </row>
    <row r="927" spans="1:11" x14ac:dyDescent="0.35">
      <c r="A927">
        <v>927</v>
      </c>
      <c r="B927">
        <v>13533.529958811121</v>
      </c>
      <c r="C927">
        <v>21907.550739024846</v>
      </c>
      <c r="D927">
        <v>25157.685352149034</v>
      </c>
      <c r="E927">
        <v>37570.312841427425</v>
      </c>
      <c r="F927">
        <v>49929.327224019515</v>
      </c>
      <c r="G927">
        <v>70937.357299503885</v>
      </c>
      <c r="H927">
        <v>165642.02847323299</v>
      </c>
      <c r="I927">
        <v>552838.9439303301</v>
      </c>
      <c r="J927">
        <v>8014916.1067482783</v>
      </c>
      <c r="K927" s="68">
        <v>8584756.2095375974</v>
      </c>
    </row>
    <row r="928" spans="1:11" x14ac:dyDescent="0.35">
      <c r="A928">
        <v>928</v>
      </c>
      <c r="B928">
        <v>14029.245523160862</v>
      </c>
      <c r="C928">
        <v>22263.510979322931</v>
      </c>
      <c r="D928">
        <v>25331.727238023312</v>
      </c>
      <c r="E928">
        <v>37874.725768441989</v>
      </c>
      <c r="F928">
        <v>50225.797397040129</v>
      </c>
      <c r="G928">
        <v>72554.985661126644</v>
      </c>
      <c r="H928">
        <v>167021.45182205172</v>
      </c>
      <c r="I928">
        <v>553187.76330546173</v>
      </c>
      <c r="J928">
        <v>8016711.2520467648</v>
      </c>
      <c r="K928" s="68">
        <v>8588062.3298319839</v>
      </c>
    </row>
    <row r="929" spans="1:11" x14ac:dyDescent="0.35">
      <c r="A929">
        <v>929</v>
      </c>
      <c r="B929">
        <v>14074.603127625125</v>
      </c>
      <c r="C929">
        <v>22722.9657455622</v>
      </c>
      <c r="D929">
        <v>25570.405045896405</v>
      </c>
      <c r="E929">
        <v>38102.8598616292</v>
      </c>
      <c r="F929">
        <v>50649.039369841026</v>
      </c>
      <c r="G929">
        <v>72668.792845158518</v>
      </c>
      <c r="H929">
        <v>167381.00657580706</v>
      </c>
      <c r="I929">
        <v>553313.9459724162</v>
      </c>
      <c r="J929">
        <v>8019195.0035950914</v>
      </c>
      <c r="K929" s="68">
        <v>8591876.3666658942</v>
      </c>
    </row>
    <row r="930" spans="1:11" x14ac:dyDescent="0.35">
      <c r="A930">
        <v>930</v>
      </c>
      <c r="B930">
        <v>14086.89209313496</v>
      </c>
      <c r="C930">
        <v>22837.897770429667</v>
      </c>
      <c r="D930">
        <v>25697.987132733564</v>
      </c>
      <c r="E930">
        <v>39024.442603592535</v>
      </c>
      <c r="F930">
        <v>51505.355702821231</v>
      </c>
      <c r="G930">
        <v>73588.045636535418</v>
      </c>
      <c r="H930">
        <v>167475.25023054672</v>
      </c>
      <c r="I930">
        <v>554468.59818187775</v>
      </c>
      <c r="J930">
        <v>8025138.1556641255</v>
      </c>
      <c r="K930" s="68">
        <v>8595133.5455011278</v>
      </c>
    </row>
    <row r="931" spans="1:11" x14ac:dyDescent="0.35">
      <c r="A931">
        <v>931</v>
      </c>
      <c r="B931">
        <v>14256.047028000361</v>
      </c>
      <c r="C931">
        <v>22889.500162652148</v>
      </c>
      <c r="D931">
        <v>25831.162920616254</v>
      </c>
      <c r="E931">
        <v>39201.979595688084</v>
      </c>
      <c r="F931">
        <v>51668.442653414211</v>
      </c>
      <c r="G931">
        <v>74533.381128540743</v>
      </c>
      <c r="H931">
        <v>169768.47264944651</v>
      </c>
      <c r="I931">
        <v>556530.49347469327</v>
      </c>
      <c r="J931">
        <v>8030212.427365616</v>
      </c>
      <c r="K931" s="68">
        <v>8596205.4079338107</v>
      </c>
    </row>
    <row r="932" spans="1:11" x14ac:dyDescent="0.35">
      <c r="A932">
        <v>932</v>
      </c>
      <c r="B932">
        <v>14258.993622619668</v>
      </c>
      <c r="C932">
        <v>23406.649920367174</v>
      </c>
      <c r="D932">
        <v>25855.527517101309</v>
      </c>
      <c r="E932">
        <v>39513.24097461746</v>
      </c>
      <c r="F932">
        <v>52614.523645623027</v>
      </c>
      <c r="G932">
        <v>74928.04532180191</v>
      </c>
      <c r="H932">
        <v>170281.57315810549</v>
      </c>
      <c r="I932">
        <v>556612.28855277365</v>
      </c>
      <c r="J932">
        <v>8036468.1884697294</v>
      </c>
      <c r="K932" s="68">
        <v>8596529.679026207</v>
      </c>
    </row>
    <row r="933" spans="1:11" x14ac:dyDescent="0.35">
      <c r="A933">
        <v>933</v>
      </c>
      <c r="B933">
        <v>14335.521770981304</v>
      </c>
      <c r="C933">
        <v>23818.511739631289</v>
      </c>
      <c r="D933">
        <v>26385.128586889161</v>
      </c>
      <c r="E933">
        <v>39568.985395452342</v>
      </c>
      <c r="F933">
        <v>52682.020958689536</v>
      </c>
      <c r="G933">
        <v>74974.494320646612</v>
      </c>
      <c r="H933">
        <v>170957.7892020866</v>
      </c>
      <c r="I933">
        <v>559533.19351344579</v>
      </c>
      <c r="J933">
        <v>8037264.4034466706</v>
      </c>
      <c r="K933" s="68">
        <v>8596859.5098229703</v>
      </c>
    </row>
    <row r="934" spans="1:11" x14ac:dyDescent="0.35">
      <c r="A934">
        <v>934</v>
      </c>
      <c r="B934">
        <v>14528.312142994197</v>
      </c>
      <c r="C934">
        <v>23864.380748574778</v>
      </c>
      <c r="D934">
        <v>26488.707436915523</v>
      </c>
      <c r="E934">
        <v>39957.079646035374</v>
      </c>
      <c r="F934">
        <v>53699.600165083284</v>
      </c>
      <c r="G934">
        <v>75300.390811610836</v>
      </c>
      <c r="H934">
        <v>171081.15274503455</v>
      </c>
      <c r="I934">
        <v>561253.49035198719</v>
      </c>
      <c r="J934">
        <v>8039424.8751662895</v>
      </c>
      <c r="K934" s="68">
        <v>8609237.5121634267</v>
      </c>
    </row>
    <row r="935" spans="1:11" x14ac:dyDescent="0.35">
      <c r="A935">
        <v>935</v>
      </c>
      <c r="B935">
        <v>14551.23339457556</v>
      </c>
      <c r="C935">
        <v>24026.765043140404</v>
      </c>
      <c r="D935">
        <v>27165.912336663951</v>
      </c>
      <c r="E935">
        <v>41094.503049865249</v>
      </c>
      <c r="F935">
        <v>53900.525757063348</v>
      </c>
      <c r="G935">
        <v>75548.273174459988</v>
      </c>
      <c r="H935">
        <v>171734.73092462661</v>
      </c>
      <c r="I935">
        <v>561810.86174620711</v>
      </c>
      <c r="J935">
        <v>8043701.0943895914</v>
      </c>
      <c r="K935" s="68">
        <v>8613056.4554150291</v>
      </c>
    </row>
    <row r="936" spans="1:11" x14ac:dyDescent="0.35">
      <c r="A936">
        <v>936</v>
      </c>
      <c r="B936">
        <v>15119.02122019323</v>
      </c>
      <c r="C936">
        <v>24054.133769847278</v>
      </c>
      <c r="D936">
        <v>27617.576983663959</v>
      </c>
      <c r="E936">
        <v>41816.660936330591</v>
      </c>
      <c r="F936">
        <v>55031.07398738648</v>
      </c>
      <c r="G936">
        <v>76060.048425238609</v>
      </c>
      <c r="H936">
        <v>172759.9499622398</v>
      </c>
      <c r="I936">
        <v>562143.08344964404</v>
      </c>
      <c r="J936">
        <v>8056441.0700508542</v>
      </c>
      <c r="K936" s="68">
        <v>8627654.5204228349</v>
      </c>
    </row>
    <row r="937" spans="1:11" x14ac:dyDescent="0.35">
      <c r="A937">
        <v>937</v>
      </c>
      <c r="B937">
        <v>15222.694404428781</v>
      </c>
      <c r="C937">
        <v>24340.924836808477</v>
      </c>
      <c r="D937">
        <v>27735.695772468509</v>
      </c>
      <c r="E937">
        <v>42070.576153234775</v>
      </c>
      <c r="F937">
        <v>56460.547490443721</v>
      </c>
      <c r="G937">
        <v>77850.876315058355</v>
      </c>
      <c r="H937">
        <v>172850.31109413292</v>
      </c>
      <c r="I937">
        <v>563210.88747234119</v>
      </c>
      <c r="J937">
        <v>8062556.5021649348</v>
      </c>
      <c r="K937" s="68">
        <v>8635982.5413393266</v>
      </c>
    </row>
    <row r="938" spans="1:11" x14ac:dyDescent="0.35">
      <c r="A938">
        <v>938</v>
      </c>
      <c r="B938">
        <v>15319.308753057288</v>
      </c>
      <c r="C938">
        <v>24560.686665098085</v>
      </c>
      <c r="D938">
        <v>27834.764771826562</v>
      </c>
      <c r="E938">
        <v>42454.314609232242</v>
      </c>
      <c r="F938">
        <v>57296.49619800548</v>
      </c>
      <c r="G938">
        <v>78294.778121969284</v>
      </c>
      <c r="H938">
        <v>173171.39007389575</v>
      </c>
      <c r="I938">
        <v>564800.58866651123</v>
      </c>
      <c r="J938">
        <v>8062809.4096449036</v>
      </c>
      <c r="K938" s="68">
        <v>8644291.5431739949</v>
      </c>
    </row>
    <row r="939" spans="1:11" x14ac:dyDescent="0.35">
      <c r="A939">
        <v>939</v>
      </c>
      <c r="B939">
        <v>15552.489667588798</v>
      </c>
      <c r="C939">
        <v>24671.105364396499</v>
      </c>
      <c r="D939">
        <v>28178.017229954494</v>
      </c>
      <c r="E939">
        <v>42856.664437770327</v>
      </c>
      <c r="F939">
        <v>57602.822954061456</v>
      </c>
      <c r="G939">
        <v>79007.311490285603</v>
      </c>
      <c r="H939">
        <v>173535.53569801795</v>
      </c>
      <c r="I939">
        <v>566633.13558338291</v>
      </c>
      <c r="J939">
        <v>8065783.7836147454</v>
      </c>
      <c r="K939" s="68">
        <v>8647444.5287059043</v>
      </c>
    </row>
    <row r="940" spans="1:11" x14ac:dyDescent="0.35">
      <c r="A940">
        <v>940</v>
      </c>
      <c r="B940">
        <v>15641.798055998954</v>
      </c>
      <c r="C940">
        <v>24871.587091985642</v>
      </c>
      <c r="D940">
        <v>28600.974485653303</v>
      </c>
      <c r="E940">
        <v>43320.154905088071</v>
      </c>
      <c r="F940">
        <v>58025.680622626605</v>
      </c>
      <c r="G940">
        <v>79401.505594506656</v>
      </c>
      <c r="H940">
        <v>173677.13044153864</v>
      </c>
      <c r="I940">
        <v>567489.8674186737</v>
      </c>
      <c r="J940">
        <v>8066950.0301906159</v>
      </c>
      <c r="K940" s="68">
        <v>8660587.5704615805</v>
      </c>
    </row>
    <row r="941" spans="1:11" x14ac:dyDescent="0.35">
      <c r="A941">
        <v>941</v>
      </c>
      <c r="B941">
        <v>16266.036348877649</v>
      </c>
      <c r="C941">
        <v>25183.989388135331</v>
      </c>
      <c r="D941">
        <v>29733.764594847016</v>
      </c>
      <c r="E941">
        <v>43878.386100698088</v>
      </c>
      <c r="F941">
        <v>58035.194418669373</v>
      </c>
      <c r="G941">
        <v>79420.821182317566</v>
      </c>
      <c r="H941">
        <v>173812.16946491713</v>
      </c>
      <c r="I941">
        <v>570462.61274982686</v>
      </c>
      <c r="J941">
        <v>8069177.8852988873</v>
      </c>
      <c r="K941" s="68">
        <v>8662140.2613211777</v>
      </c>
    </row>
    <row r="942" spans="1:11" x14ac:dyDescent="0.35">
      <c r="A942">
        <v>942</v>
      </c>
      <c r="B942">
        <v>16272.118046852664</v>
      </c>
      <c r="C942">
        <v>25541.590954368348</v>
      </c>
      <c r="D942">
        <v>30096.360354126064</v>
      </c>
      <c r="E942">
        <v>43917.923695249876</v>
      </c>
      <c r="F942">
        <v>58085.086133827783</v>
      </c>
      <c r="G942">
        <v>79821.790198668736</v>
      </c>
      <c r="H942">
        <v>174618.42709746698</v>
      </c>
      <c r="I942">
        <v>570591.84898087312</v>
      </c>
      <c r="J942">
        <v>8074758.7416275302</v>
      </c>
      <c r="K942" s="68">
        <v>8664838.2186679356</v>
      </c>
    </row>
    <row r="943" spans="1:11" x14ac:dyDescent="0.35">
      <c r="A943">
        <v>943</v>
      </c>
      <c r="B943">
        <v>16468.353991653508</v>
      </c>
      <c r="C943">
        <v>25603.02585378525</v>
      </c>
      <c r="D943">
        <v>30139.373010539381</v>
      </c>
      <c r="E943">
        <v>44017.723122825948</v>
      </c>
      <c r="F943">
        <v>58105.961257430943</v>
      </c>
      <c r="G943">
        <v>79939.489891482153</v>
      </c>
      <c r="H943">
        <v>174658.51373431506</v>
      </c>
      <c r="I943">
        <v>572225.16632683598</v>
      </c>
      <c r="J943">
        <v>8094321.9345022589</v>
      </c>
      <c r="K943" s="68">
        <v>8669704.5363318063</v>
      </c>
    </row>
    <row r="944" spans="1:11" x14ac:dyDescent="0.35">
      <c r="A944">
        <v>944</v>
      </c>
      <c r="B944">
        <v>16494.990257252852</v>
      </c>
      <c r="C944">
        <v>25674.016909785059</v>
      </c>
      <c r="D944">
        <v>30272.898289992729</v>
      </c>
      <c r="E944">
        <v>45204.414600738863</v>
      </c>
      <c r="F944">
        <v>58206.960457188696</v>
      </c>
      <c r="G944">
        <v>80334.413529209807</v>
      </c>
      <c r="H944">
        <v>175546.37030080581</v>
      </c>
      <c r="I944">
        <v>573203.60600579565</v>
      </c>
      <c r="J944">
        <v>8096054.9917094884</v>
      </c>
      <c r="K944" s="68">
        <v>8678351.4621938299</v>
      </c>
    </row>
    <row r="945" spans="1:11" x14ac:dyDescent="0.35">
      <c r="A945">
        <v>945</v>
      </c>
      <c r="B945">
        <v>16541.933866841973</v>
      </c>
      <c r="C945">
        <v>25957.817332850576</v>
      </c>
      <c r="D945">
        <v>30304.940030805512</v>
      </c>
      <c r="E945">
        <v>45281.056251863949</v>
      </c>
      <c r="F945">
        <v>58579.324403413528</v>
      </c>
      <c r="G945">
        <v>80359.995759857367</v>
      </c>
      <c r="H945">
        <v>175923.66063632222</v>
      </c>
      <c r="I945">
        <v>575347.78028720676</v>
      </c>
      <c r="J945">
        <v>8097993.7488149768</v>
      </c>
      <c r="K945" s="68">
        <v>8682957.444163477</v>
      </c>
    </row>
    <row r="946" spans="1:11" x14ac:dyDescent="0.35">
      <c r="A946">
        <v>946</v>
      </c>
      <c r="B946">
        <v>16578.690556494148</v>
      </c>
      <c r="C946">
        <v>26142.507231503434</v>
      </c>
      <c r="D946">
        <v>30480.175944555471</v>
      </c>
      <c r="E946">
        <v>45552.051023817032</v>
      </c>
      <c r="F946">
        <v>58747.042978925085</v>
      </c>
      <c r="G946">
        <v>80394.649140225418</v>
      </c>
      <c r="H946">
        <v>176699.37937235658</v>
      </c>
      <c r="I946">
        <v>577854.67717525596</v>
      </c>
      <c r="J946">
        <v>8104674.8891776614</v>
      </c>
      <c r="K946" s="68">
        <v>8709211.4252832159</v>
      </c>
    </row>
    <row r="947" spans="1:11" x14ac:dyDescent="0.35">
      <c r="A947">
        <v>947</v>
      </c>
      <c r="B947">
        <v>16779.97046736128</v>
      </c>
      <c r="C947">
        <v>26255.486206459209</v>
      </c>
      <c r="D947">
        <v>31015.512439935945</v>
      </c>
      <c r="E947">
        <v>45822.759398736147</v>
      </c>
      <c r="F947">
        <v>59215.407525354203</v>
      </c>
      <c r="G947">
        <v>83533.368584615266</v>
      </c>
      <c r="H947">
        <v>177861.05202032361</v>
      </c>
      <c r="I947">
        <v>578010.69320205285</v>
      </c>
      <c r="J947">
        <v>8109809.5010574535</v>
      </c>
      <c r="K947" s="68">
        <v>8709510.1352539156</v>
      </c>
    </row>
    <row r="948" spans="1:11" x14ac:dyDescent="0.35">
      <c r="A948">
        <v>948</v>
      </c>
      <c r="B948">
        <v>18323.325709016281</v>
      </c>
      <c r="C948">
        <v>26579.476114745488</v>
      </c>
      <c r="D948">
        <v>31991.52493643279</v>
      </c>
      <c r="E948">
        <v>45898.030720550079</v>
      </c>
      <c r="F948">
        <v>59278.203678179692</v>
      </c>
      <c r="G948">
        <v>84385.866082226217</v>
      </c>
      <c r="H948">
        <v>178162.79977235963</v>
      </c>
      <c r="I948">
        <v>578530.36274960183</v>
      </c>
      <c r="J948">
        <v>8120742.5032440899</v>
      </c>
      <c r="K948" s="68">
        <v>8718146.6266347226</v>
      </c>
    </row>
    <row r="949" spans="1:11" x14ac:dyDescent="0.35">
      <c r="A949">
        <v>949</v>
      </c>
      <c r="B949">
        <v>18665.858505649274</v>
      </c>
      <c r="C949">
        <v>26912.998271082379</v>
      </c>
      <c r="D949">
        <v>32625.324386614786</v>
      </c>
      <c r="E949">
        <v>46125.432839470086</v>
      </c>
      <c r="F949">
        <v>59346.012693938173</v>
      </c>
      <c r="G949">
        <v>84484.339134421665</v>
      </c>
      <c r="H949">
        <v>179394.42378189703</v>
      </c>
      <c r="I949">
        <v>579349.55472064205</v>
      </c>
      <c r="J949">
        <v>8121862.0932079693</v>
      </c>
      <c r="K949" s="68">
        <v>8723883.5120383166</v>
      </c>
    </row>
    <row r="950" spans="1:11" x14ac:dyDescent="0.35">
      <c r="A950">
        <v>950</v>
      </c>
      <c r="B950">
        <v>19529.031352859656</v>
      </c>
      <c r="C950">
        <v>27893.098977249658</v>
      </c>
      <c r="D950">
        <v>33499.10870302705</v>
      </c>
      <c r="E950">
        <v>46863.174439107701</v>
      </c>
      <c r="F950">
        <v>59684.195464273223</v>
      </c>
      <c r="G950">
        <v>84560.617230524134</v>
      </c>
      <c r="H950">
        <v>180524.40766554631</v>
      </c>
      <c r="I950">
        <v>579583.64462167025</v>
      </c>
      <c r="J950">
        <v>8127215.2458000509</v>
      </c>
      <c r="K950" s="68">
        <v>8724442.8225251399</v>
      </c>
    </row>
    <row r="951" spans="1:11" x14ac:dyDescent="0.35">
      <c r="A951">
        <v>951</v>
      </c>
      <c r="B951">
        <v>19772.069866624428</v>
      </c>
      <c r="C951">
        <v>28386.129206217436</v>
      </c>
      <c r="D951">
        <v>33707.086861244454</v>
      </c>
      <c r="E951">
        <v>47009.291537746743</v>
      </c>
      <c r="F951">
        <v>60295.341904453671</v>
      </c>
      <c r="G951">
        <v>85934.295452157356</v>
      </c>
      <c r="H951">
        <v>180871.72502689593</v>
      </c>
      <c r="I951">
        <v>580857.92754867813</v>
      </c>
      <c r="J951">
        <v>8155933.8737113113</v>
      </c>
      <c r="K951" s="68">
        <v>8728960.143057473</v>
      </c>
    </row>
    <row r="952" spans="1:11" x14ac:dyDescent="0.35">
      <c r="A952">
        <v>952</v>
      </c>
      <c r="B952">
        <v>19915.917705060634</v>
      </c>
      <c r="C952">
        <v>29210.079603220343</v>
      </c>
      <c r="D952">
        <v>34122.2839101918</v>
      </c>
      <c r="E952">
        <v>47437.223602559534</v>
      </c>
      <c r="F952">
        <v>60661.63958676756</v>
      </c>
      <c r="G952">
        <v>87886.416334303212</v>
      </c>
      <c r="H952">
        <v>181210.81968120902</v>
      </c>
      <c r="I952">
        <v>581429.49904811382</v>
      </c>
      <c r="J952">
        <v>8158504.9873064104</v>
      </c>
      <c r="K952" s="68">
        <v>8730385.6981362496</v>
      </c>
    </row>
    <row r="953" spans="1:11" x14ac:dyDescent="0.35">
      <c r="A953">
        <v>953</v>
      </c>
      <c r="B953">
        <v>20541.322102270395</v>
      </c>
      <c r="C953">
        <v>29497.690971810614</v>
      </c>
      <c r="D953">
        <v>34201.183602183766</v>
      </c>
      <c r="E953">
        <v>48014.572510413367</v>
      </c>
      <c r="F953">
        <v>61475.338141875756</v>
      </c>
      <c r="G953">
        <v>88823.902561266004</v>
      </c>
      <c r="H953">
        <v>181596.73281383223</v>
      </c>
      <c r="I953">
        <v>582277.73585825332</v>
      </c>
      <c r="J953">
        <v>8173670.8022118425</v>
      </c>
      <c r="K953" s="68">
        <v>8730639.2968694065</v>
      </c>
    </row>
    <row r="954" spans="1:11" x14ac:dyDescent="0.35">
      <c r="A954">
        <v>954</v>
      </c>
      <c r="B954">
        <v>20558.534716762839</v>
      </c>
      <c r="C954">
        <v>29812.67826202897</v>
      </c>
      <c r="D954">
        <v>34578.522590543231</v>
      </c>
      <c r="E954">
        <v>48663.640973421279</v>
      </c>
      <c r="F954">
        <v>61752.414908551546</v>
      </c>
      <c r="G954">
        <v>88972.8341585421</v>
      </c>
      <c r="H954">
        <v>183663.08600674811</v>
      </c>
      <c r="I954">
        <v>583596.23423330858</v>
      </c>
      <c r="J954">
        <v>8174529.5497646667</v>
      </c>
      <c r="K954" s="68">
        <v>8739478.2448984664</v>
      </c>
    </row>
    <row r="955" spans="1:11" x14ac:dyDescent="0.35">
      <c r="A955">
        <v>955</v>
      </c>
      <c r="B955">
        <v>20726.383742553979</v>
      </c>
      <c r="C955">
        <v>30136.888227506373</v>
      </c>
      <c r="D955">
        <v>35029.43088406077</v>
      </c>
      <c r="E955">
        <v>49407.900114001146</v>
      </c>
      <c r="F955">
        <v>65170.429083724441</v>
      </c>
      <c r="G955">
        <v>89443.996108467225</v>
      </c>
      <c r="H955">
        <v>183822.11092133538</v>
      </c>
      <c r="I955">
        <v>585046.43023394106</v>
      </c>
      <c r="J955">
        <v>8176344.4357581101</v>
      </c>
      <c r="K955" s="68">
        <v>8742195.2022528704</v>
      </c>
    </row>
    <row r="956" spans="1:11" x14ac:dyDescent="0.35">
      <c r="A956">
        <v>956</v>
      </c>
      <c r="B956">
        <v>20964.197128319844</v>
      </c>
      <c r="C956">
        <v>30390.597938503102</v>
      </c>
      <c r="D956">
        <v>35527.348056094117</v>
      </c>
      <c r="E956">
        <v>49691.364555215616</v>
      </c>
      <c r="F956">
        <v>65739.112130670561</v>
      </c>
      <c r="G956">
        <v>89550.002605597227</v>
      </c>
      <c r="H956">
        <v>185170.27013358785</v>
      </c>
      <c r="I956">
        <v>588174.83909596747</v>
      </c>
      <c r="J956">
        <v>8177367.1684436817</v>
      </c>
      <c r="K956" s="68">
        <v>8742762.0901875608</v>
      </c>
    </row>
    <row r="957" spans="1:11" x14ac:dyDescent="0.35">
      <c r="A957">
        <v>957</v>
      </c>
      <c r="B957">
        <v>21281.494799950073</v>
      </c>
      <c r="C957">
        <v>30573.676486979042</v>
      </c>
      <c r="D957">
        <v>36016.88340558971</v>
      </c>
      <c r="E957">
        <v>49893.769657721874</v>
      </c>
      <c r="F957">
        <v>66000.130456430867</v>
      </c>
      <c r="G957">
        <v>90163.917093274213</v>
      </c>
      <c r="H957">
        <v>185825.5914453016</v>
      </c>
      <c r="I957">
        <v>592376.54943465185</v>
      </c>
      <c r="J957">
        <v>8179369.5820999034</v>
      </c>
      <c r="K957" s="68">
        <v>8747562.7251806352</v>
      </c>
    </row>
    <row r="958" spans="1:11" x14ac:dyDescent="0.35">
      <c r="A958">
        <v>958</v>
      </c>
      <c r="B958">
        <v>21745.168489778345</v>
      </c>
      <c r="C958">
        <v>31178.38996350134</v>
      </c>
      <c r="D958">
        <v>36515.507701379975</v>
      </c>
      <c r="E958">
        <v>50433.877115958647</v>
      </c>
      <c r="F958">
        <v>66469.853647231881</v>
      </c>
      <c r="G958">
        <v>90548.740401525924</v>
      </c>
      <c r="H958">
        <v>186067.49417220111</v>
      </c>
      <c r="I958">
        <v>595751.43655013805</v>
      </c>
      <c r="J958">
        <v>8187853.4963798178</v>
      </c>
      <c r="K958" s="68">
        <v>8758138.0006667636</v>
      </c>
    </row>
    <row r="959" spans="1:11" x14ac:dyDescent="0.35">
      <c r="A959">
        <v>959</v>
      </c>
      <c r="B959">
        <v>22094.000557316707</v>
      </c>
      <c r="C959">
        <v>31372.134166454085</v>
      </c>
      <c r="D959">
        <v>36541.535370496422</v>
      </c>
      <c r="E959">
        <v>50669.89198788553</v>
      </c>
      <c r="F959">
        <v>66767.365180938097</v>
      </c>
      <c r="G959">
        <v>90628.347249301587</v>
      </c>
      <c r="H959">
        <v>186955.83608231824</v>
      </c>
      <c r="I959">
        <v>597803.27466290817</v>
      </c>
      <c r="J959">
        <v>8212527.1916324897</v>
      </c>
      <c r="K959" s="68">
        <v>8765051.173601592</v>
      </c>
    </row>
    <row r="960" spans="1:11" x14ac:dyDescent="0.35">
      <c r="A960">
        <v>960</v>
      </c>
      <c r="B960">
        <v>22338.443430617775</v>
      </c>
      <c r="C960">
        <v>31664.530731668659</v>
      </c>
      <c r="D960">
        <v>37143.594904355261</v>
      </c>
      <c r="E960">
        <v>50836.286118199139</v>
      </c>
      <c r="F960">
        <v>67593.966980844736</v>
      </c>
      <c r="G960">
        <v>91189.543440475638</v>
      </c>
      <c r="H960">
        <v>187282.97450826864</v>
      </c>
      <c r="I960">
        <v>599485.43244807736</v>
      </c>
      <c r="J960">
        <v>8224518.1897574952</v>
      </c>
      <c r="K960" s="68">
        <v>8768080.9472411089</v>
      </c>
    </row>
    <row r="961" spans="1:11" x14ac:dyDescent="0.35">
      <c r="A961">
        <v>961</v>
      </c>
      <c r="B961">
        <v>22704.109100009504</v>
      </c>
      <c r="C961">
        <v>31805.464623144126</v>
      </c>
      <c r="D961">
        <v>37574.640103404628</v>
      </c>
      <c r="E961">
        <v>51184.872708924951</v>
      </c>
      <c r="F961">
        <v>68417.565303605224</v>
      </c>
      <c r="G961">
        <v>91743.569018571216</v>
      </c>
      <c r="H961">
        <v>188115.07608725128</v>
      </c>
      <c r="I961">
        <v>599985.79220521473</v>
      </c>
      <c r="J961">
        <v>8225198.9049361413</v>
      </c>
      <c r="K961" s="68">
        <v>8788525.2891697008</v>
      </c>
    </row>
    <row r="962" spans="1:11" x14ac:dyDescent="0.35">
      <c r="A962">
        <v>962</v>
      </c>
      <c r="B962">
        <v>23911.545585277465</v>
      </c>
      <c r="C962">
        <v>32224.085217377171</v>
      </c>
      <c r="D962">
        <v>39598.127575880986</v>
      </c>
      <c r="E962">
        <v>51450.720196309238</v>
      </c>
      <c r="F962">
        <v>68594.040970354414</v>
      </c>
      <c r="G962">
        <v>91771.58857227405</v>
      </c>
      <c r="H962">
        <v>189545.72607983026</v>
      </c>
      <c r="I962">
        <v>600381.63425749261</v>
      </c>
      <c r="J962">
        <v>8226673.2066079173</v>
      </c>
      <c r="K962" s="68">
        <v>8809247.0317269266</v>
      </c>
    </row>
    <row r="963" spans="1:11" x14ac:dyDescent="0.35">
      <c r="A963">
        <v>963</v>
      </c>
      <c r="B963">
        <v>24544.747581778014</v>
      </c>
      <c r="C963">
        <v>32329.736895114198</v>
      </c>
      <c r="D963">
        <v>40451.361521972904</v>
      </c>
      <c r="E963">
        <v>52407.815509190033</v>
      </c>
      <c r="F963">
        <v>68966.82590183377</v>
      </c>
      <c r="G963">
        <v>92717.264106204675</v>
      </c>
      <c r="H963">
        <v>190821.10610474873</v>
      </c>
      <c r="I963">
        <v>600710.2538139621</v>
      </c>
      <c r="J963">
        <v>8247392.2471848251</v>
      </c>
      <c r="K963" s="68">
        <v>8811964.87967043</v>
      </c>
    </row>
    <row r="964" spans="1:11" x14ac:dyDescent="0.35">
      <c r="A964">
        <v>964</v>
      </c>
      <c r="B964">
        <v>25089.566754160558</v>
      </c>
      <c r="C964">
        <v>32494.010898564105</v>
      </c>
      <c r="D964">
        <v>40595.643637125249</v>
      </c>
      <c r="E964">
        <v>52452.775553400643</v>
      </c>
      <c r="F964">
        <v>69677.414706657932</v>
      </c>
      <c r="G964">
        <v>93236.586224700121</v>
      </c>
      <c r="H964">
        <v>192121.10587394584</v>
      </c>
      <c r="I964">
        <v>600970.24068108888</v>
      </c>
      <c r="J964">
        <v>8248106.2510526516</v>
      </c>
      <c r="K964" s="68">
        <v>8815196.0684733298</v>
      </c>
    </row>
    <row r="965" spans="1:11" x14ac:dyDescent="0.35">
      <c r="A965">
        <v>965</v>
      </c>
      <c r="B965">
        <v>25274.741068373754</v>
      </c>
      <c r="C965">
        <v>32835.261929562235</v>
      </c>
      <c r="D965">
        <v>42676.867456264554</v>
      </c>
      <c r="E965">
        <v>52922.603363394519</v>
      </c>
      <c r="F965">
        <v>69927.489998314777</v>
      </c>
      <c r="G965">
        <v>93389.084838737617</v>
      </c>
      <c r="H965">
        <v>192909.21193827322</v>
      </c>
      <c r="I965">
        <v>602837.48450613709</v>
      </c>
      <c r="J965">
        <v>8248557.9233509088</v>
      </c>
      <c r="K965" s="68">
        <v>8816052.9894030951</v>
      </c>
    </row>
    <row r="966" spans="1:11" x14ac:dyDescent="0.35">
      <c r="A966">
        <v>966</v>
      </c>
      <c r="B966">
        <v>25532.689838408511</v>
      </c>
      <c r="C966">
        <v>33549.317297621295</v>
      </c>
      <c r="D966">
        <v>42981.7499902493</v>
      </c>
      <c r="E966">
        <v>54175.45707248876</v>
      </c>
      <c r="F966">
        <v>69986.674770356229</v>
      </c>
      <c r="G966">
        <v>96461.430887054623</v>
      </c>
      <c r="H966">
        <v>192945.72990901928</v>
      </c>
      <c r="I966">
        <v>604360.03555171005</v>
      </c>
      <c r="J966">
        <v>8252756.0301621025</v>
      </c>
      <c r="K966" s="68">
        <v>8828436.7104700431</v>
      </c>
    </row>
    <row r="967" spans="1:11" x14ac:dyDescent="0.35">
      <c r="A967">
        <v>967</v>
      </c>
      <c r="B967">
        <v>26367.941840848274</v>
      </c>
      <c r="C967">
        <v>33593.081232549499</v>
      </c>
      <c r="D967">
        <v>43073.026921173157</v>
      </c>
      <c r="E967">
        <v>54566.459744136031</v>
      </c>
      <c r="F967">
        <v>70238.832897123255</v>
      </c>
      <c r="G967">
        <v>97431.455696469784</v>
      </c>
      <c r="H967">
        <v>193189.17241706309</v>
      </c>
      <c r="I967">
        <v>605653.66204796731</v>
      </c>
      <c r="J967">
        <v>8253777.6958339829</v>
      </c>
      <c r="K967" s="68">
        <v>8830696.8772567343</v>
      </c>
    </row>
    <row r="968" spans="1:11" x14ac:dyDescent="0.35">
      <c r="A968">
        <v>968</v>
      </c>
      <c r="B968">
        <v>26435.902811974938</v>
      </c>
      <c r="C968">
        <v>33822.669739436904</v>
      </c>
      <c r="D968">
        <v>43950.764348699609</v>
      </c>
      <c r="E968">
        <v>54734.809021282737</v>
      </c>
      <c r="F968">
        <v>71171.701300586414</v>
      </c>
      <c r="G968">
        <v>97767.026420584982</v>
      </c>
      <c r="H968">
        <v>194331.9826964399</v>
      </c>
      <c r="I968">
        <v>605739.69784254185</v>
      </c>
      <c r="J968">
        <v>8288821.0524442606</v>
      </c>
      <c r="K968" s="68">
        <v>8845574.8258731049</v>
      </c>
    </row>
    <row r="969" spans="1:11" x14ac:dyDescent="0.35">
      <c r="A969">
        <v>969</v>
      </c>
      <c r="B969">
        <v>27070.058791046962</v>
      </c>
      <c r="C969">
        <v>33851.334103118708</v>
      </c>
      <c r="D969">
        <v>45208.895494188051</v>
      </c>
      <c r="E969">
        <v>54961.52540933351</v>
      </c>
      <c r="F969">
        <v>72235.888723948039</v>
      </c>
      <c r="G969">
        <v>98861.38548578546</v>
      </c>
      <c r="H969">
        <v>195156.81756725328</v>
      </c>
      <c r="I969">
        <v>607149.60392316186</v>
      </c>
      <c r="J969">
        <v>8318612.7364814579</v>
      </c>
      <c r="K969" s="68">
        <v>8855872.3835863397</v>
      </c>
    </row>
    <row r="970" spans="1:11" x14ac:dyDescent="0.35">
      <c r="A970">
        <v>970</v>
      </c>
      <c r="B970">
        <v>27733.289825242642</v>
      </c>
      <c r="C970">
        <v>35049.197518852539</v>
      </c>
      <c r="D970">
        <v>45252.919626941875</v>
      </c>
      <c r="E970">
        <v>59628.516875780944</v>
      </c>
      <c r="F970">
        <v>73568.126758949365</v>
      </c>
      <c r="G970">
        <v>98868.850737326604</v>
      </c>
      <c r="H970">
        <v>195312.80966530857</v>
      </c>
      <c r="I970">
        <v>615545.65560066258</v>
      </c>
      <c r="J970">
        <v>8340648.9132450111</v>
      </c>
      <c r="K970" s="68">
        <v>8860722.9830596</v>
      </c>
    </row>
    <row r="971" spans="1:11" x14ac:dyDescent="0.35">
      <c r="A971">
        <v>971</v>
      </c>
      <c r="B971">
        <v>27929.575533089581</v>
      </c>
      <c r="C971">
        <v>35054.399657168884</v>
      </c>
      <c r="D971">
        <v>45298.853179575555</v>
      </c>
      <c r="E971">
        <v>60362.329223258028</v>
      </c>
      <c r="F971">
        <v>74527.206678660179</v>
      </c>
      <c r="G971">
        <v>98894.926482675757</v>
      </c>
      <c r="H971">
        <v>195637.85897404558</v>
      </c>
      <c r="I971">
        <v>616218.76191631681</v>
      </c>
      <c r="J971">
        <v>8348328.8729321817</v>
      </c>
      <c r="K971" s="68">
        <v>8883322.5344841685</v>
      </c>
    </row>
    <row r="972" spans="1:11" x14ac:dyDescent="0.35">
      <c r="A972">
        <v>972</v>
      </c>
      <c r="B972">
        <v>28058.830973016098</v>
      </c>
      <c r="C972">
        <v>36484.345977878009</v>
      </c>
      <c r="D972">
        <v>45456.768617805377</v>
      </c>
      <c r="E972">
        <v>60966.122743185173</v>
      </c>
      <c r="F972">
        <v>74630.137504736529</v>
      </c>
      <c r="G972">
        <v>99376.916349928491</v>
      </c>
      <c r="H972">
        <v>196197.74186510069</v>
      </c>
      <c r="I972">
        <v>616550.8709692749</v>
      </c>
      <c r="J972">
        <v>8369340.9668705594</v>
      </c>
      <c r="K972" s="68">
        <v>8888159.260657372</v>
      </c>
    </row>
    <row r="973" spans="1:11" x14ac:dyDescent="0.35">
      <c r="A973">
        <v>973</v>
      </c>
      <c r="B973">
        <v>28272.067902654522</v>
      </c>
      <c r="C973">
        <v>40815.892352049756</v>
      </c>
      <c r="D973">
        <v>45916.460726066645</v>
      </c>
      <c r="E973">
        <v>61160.225770189318</v>
      </c>
      <c r="F973">
        <v>74742.95813175269</v>
      </c>
      <c r="G973">
        <v>100965.15919536017</v>
      </c>
      <c r="H973">
        <v>196391.82630167788</v>
      </c>
      <c r="I973">
        <v>616621.42893434735</v>
      </c>
      <c r="J973">
        <v>8370210.4513698006</v>
      </c>
      <c r="K973" s="68">
        <v>8913603.817125652</v>
      </c>
    </row>
    <row r="974" spans="1:11" x14ac:dyDescent="0.35">
      <c r="A974">
        <v>974</v>
      </c>
      <c r="B974">
        <v>31824.706653638688</v>
      </c>
      <c r="C974">
        <v>41561.355134711899</v>
      </c>
      <c r="D974">
        <v>47658.435101095143</v>
      </c>
      <c r="E974">
        <v>63535.303832756756</v>
      </c>
      <c r="F974">
        <v>74845.884149461926</v>
      </c>
      <c r="G974">
        <v>101431.00825452931</v>
      </c>
      <c r="H974">
        <v>198107.9211258353</v>
      </c>
      <c r="I974">
        <v>616810.22770197282</v>
      </c>
      <c r="J974">
        <v>8384444.4503730405</v>
      </c>
      <c r="K974" s="68">
        <v>8926208.0257797781</v>
      </c>
    </row>
    <row r="975" spans="1:11" x14ac:dyDescent="0.35">
      <c r="A975">
        <v>975</v>
      </c>
      <c r="B975">
        <v>32072.740303035192</v>
      </c>
      <c r="C975">
        <v>42093.288286052251</v>
      </c>
      <c r="D975">
        <v>48631.321459156905</v>
      </c>
      <c r="E975">
        <v>64889.124175386693</v>
      </c>
      <c r="F975">
        <v>77918.364959198443</v>
      </c>
      <c r="G975">
        <v>103162.48648820928</v>
      </c>
      <c r="H975">
        <v>199235.57780200784</v>
      </c>
      <c r="I975">
        <v>619248.89729620761</v>
      </c>
      <c r="J975">
        <v>8392161.4773653038</v>
      </c>
      <c r="K975" s="68">
        <v>8930012.3416215442</v>
      </c>
    </row>
    <row r="976" spans="1:11" x14ac:dyDescent="0.35">
      <c r="A976">
        <v>976</v>
      </c>
      <c r="B976">
        <v>32358.575268011205</v>
      </c>
      <c r="C976">
        <v>42873.410032484091</v>
      </c>
      <c r="D976">
        <v>50983.162293570604</v>
      </c>
      <c r="E976">
        <v>65139.36771826975</v>
      </c>
      <c r="F976">
        <v>78661.677954841565</v>
      </c>
      <c r="G976">
        <v>105615.32433694185</v>
      </c>
      <c r="H976">
        <v>201149.5852684984</v>
      </c>
      <c r="I976">
        <v>624594.30666901416</v>
      </c>
      <c r="J976">
        <v>8406561.0454102624</v>
      </c>
      <c r="K976" s="68">
        <v>8947145.9142969139</v>
      </c>
    </row>
    <row r="977" spans="1:11" x14ac:dyDescent="0.35">
      <c r="A977">
        <v>977</v>
      </c>
      <c r="B977">
        <v>33205.647721874535</v>
      </c>
      <c r="C977">
        <v>43699.223802769084</v>
      </c>
      <c r="D977">
        <v>51586.681529598565</v>
      </c>
      <c r="E977">
        <v>65203.05073239567</v>
      </c>
      <c r="F977">
        <v>78851.077839526683</v>
      </c>
      <c r="G977">
        <v>106471.83052948023</v>
      </c>
      <c r="H977">
        <v>201237.51345447198</v>
      </c>
      <c r="I977">
        <v>628352.59114644374</v>
      </c>
      <c r="J977">
        <v>8428220.3303877208</v>
      </c>
      <c r="K977" s="68">
        <v>8956122.9549474437</v>
      </c>
    </row>
    <row r="978" spans="1:11" x14ac:dyDescent="0.35">
      <c r="A978">
        <v>978</v>
      </c>
      <c r="B978">
        <v>35889.11194143867</v>
      </c>
      <c r="C978">
        <v>44263.713695741455</v>
      </c>
      <c r="D978">
        <v>51796.178428331215</v>
      </c>
      <c r="E978">
        <v>66038.427141074251</v>
      </c>
      <c r="F978">
        <v>80148.237482206445</v>
      </c>
      <c r="G978">
        <v>106977.99542809532</v>
      </c>
      <c r="H978">
        <v>203297.79944612313</v>
      </c>
      <c r="I978">
        <v>628891.10114272102</v>
      </c>
      <c r="J978">
        <v>8441355.9355263021</v>
      </c>
      <c r="K978" s="68">
        <v>8962344.2671269514</v>
      </c>
    </row>
    <row r="979" spans="1:11" x14ac:dyDescent="0.35">
      <c r="A979">
        <v>979</v>
      </c>
      <c r="B979">
        <v>36504.807462493998</v>
      </c>
      <c r="C979">
        <v>46424.470166600491</v>
      </c>
      <c r="D979">
        <v>52094.663068778413</v>
      </c>
      <c r="E979">
        <v>68239.362124377905</v>
      </c>
      <c r="F979">
        <v>83927.836421677217</v>
      </c>
      <c r="G979">
        <v>109771.71825603532</v>
      </c>
      <c r="H979">
        <v>204757.90243349792</v>
      </c>
      <c r="I979">
        <v>631320.7833752872</v>
      </c>
      <c r="J979">
        <v>8441377.8297830317</v>
      </c>
      <c r="K979" s="68">
        <v>8979990.8612951189</v>
      </c>
    </row>
    <row r="980" spans="1:11" x14ac:dyDescent="0.35">
      <c r="A980">
        <v>980</v>
      </c>
      <c r="B980">
        <v>36895.326783964978</v>
      </c>
      <c r="C980">
        <v>47618.350893991679</v>
      </c>
      <c r="D980">
        <v>53677.66460996239</v>
      </c>
      <c r="E980">
        <v>69030.008572531005</v>
      </c>
      <c r="F980">
        <v>89809.775705153821</v>
      </c>
      <c r="G980">
        <v>113122.72149614645</v>
      </c>
      <c r="H980">
        <v>217681.09541180969</v>
      </c>
      <c r="I980">
        <v>634841.17207040568</v>
      </c>
      <c r="J980">
        <v>8465262.4033416454</v>
      </c>
      <c r="K980" s="68">
        <v>8994009.4757610168</v>
      </c>
    </row>
    <row r="981" spans="1:11" x14ac:dyDescent="0.35">
      <c r="A981">
        <v>981</v>
      </c>
      <c r="B981">
        <v>37090.403789068536</v>
      </c>
      <c r="C981">
        <v>49455.648641887215</v>
      </c>
      <c r="D981">
        <v>53815.471608084132</v>
      </c>
      <c r="E981">
        <v>69332.91080289254</v>
      </c>
      <c r="F981">
        <v>90539.152253494613</v>
      </c>
      <c r="G981">
        <v>113494.90213244743</v>
      </c>
      <c r="H981">
        <v>217712.73360122749</v>
      </c>
      <c r="I981">
        <v>636258.91618289251</v>
      </c>
      <c r="J981">
        <v>8472986.436047459</v>
      </c>
      <c r="K981" s="68">
        <v>9014090.2176049817</v>
      </c>
    </row>
    <row r="982" spans="1:11" x14ac:dyDescent="0.35">
      <c r="A982">
        <v>982</v>
      </c>
      <c r="B982">
        <v>37137.130227845599</v>
      </c>
      <c r="C982">
        <v>50425.282597163437</v>
      </c>
      <c r="D982">
        <v>54371.697959872705</v>
      </c>
      <c r="E982">
        <v>70097.501618447321</v>
      </c>
      <c r="F982">
        <v>90609.817682739143</v>
      </c>
      <c r="G982">
        <v>114584.55899188502</v>
      </c>
      <c r="H982">
        <v>218456.85001772875</v>
      </c>
      <c r="I982">
        <v>644814.28444141021</v>
      </c>
      <c r="J982">
        <v>8483429.3206208609</v>
      </c>
      <c r="K982" s="68">
        <v>9037062.7251722198</v>
      </c>
    </row>
    <row r="983" spans="1:11" x14ac:dyDescent="0.35">
      <c r="A983">
        <v>983</v>
      </c>
      <c r="B983">
        <v>38877.29652411116</v>
      </c>
      <c r="C983">
        <v>53540.589689164299</v>
      </c>
      <c r="D983">
        <v>59843.450494271696</v>
      </c>
      <c r="E983">
        <v>72437.589297537605</v>
      </c>
      <c r="F983">
        <v>91125.808552893141</v>
      </c>
      <c r="G983">
        <v>116580.88874589256</v>
      </c>
      <c r="H983">
        <v>224473.38508121896</v>
      </c>
      <c r="I983">
        <v>646945.95167834067</v>
      </c>
      <c r="J983">
        <v>8497793.3363990374</v>
      </c>
      <c r="K983" s="68">
        <v>9071012.6691709962</v>
      </c>
    </row>
    <row r="984" spans="1:11" x14ac:dyDescent="0.35">
      <c r="A984">
        <v>984</v>
      </c>
      <c r="B984">
        <v>42211.946937184715</v>
      </c>
      <c r="C984">
        <v>54377.988450277488</v>
      </c>
      <c r="D984">
        <v>61281.834219547571</v>
      </c>
      <c r="E984">
        <v>74042.605894957655</v>
      </c>
      <c r="F984">
        <v>92391.057480367337</v>
      </c>
      <c r="G984">
        <v>117044.21034203758</v>
      </c>
      <c r="H984">
        <v>227185.16811835184</v>
      </c>
      <c r="I984">
        <v>648684.56172166928</v>
      </c>
      <c r="J984">
        <v>8521174.4642394781</v>
      </c>
      <c r="K984" s="68">
        <v>9071367.4276652317</v>
      </c>
    </row>
    <row r="985" spans="1:11" x14ac:dyDescent="0.35">
      <c r="A985">
        <v>985</v>
      </c>
      <c r="B985">
        <v>42885.309240889117</v>
      </c>
      <c r="C985">
        <v>56320.948313656605</v>
      </c>
      <c r="D985">
        <v>61693.739736002412</v>
      </c>
      <c r="E985">
        <v>74346.139089514953</v>
      </c>
      <c r="F985">
        <v>92395.145292900081</v>
      </c>
      <c r="G985">
        <v>120154.06354772879</v>
      </c>
      <c r="H985">
        <v>227470.21743387714</v>
      </c>
      <c r="I985">
        <v>655557.74427350971</v>
      </c>
      <c r="J985">
        <v>8536553.7466090415</v>
      </c>
      <c r="K985" s="68">
        <v>9088013.8889849912</v>
      </c>
    </row>
    <row r="986" spans="1:11" x14ac:dyDescent="0.35">
      <c r="A986">
        <v>986</v>
      </c>
      <c r="B986">
        <v>46980.143221855877</v>
      </c>
      <c r="C986">
        <v>57924.628239490987</v>
      </c>
      <c r="D986">
        <v>62693.301749666287</v>
      </c>
      <c r="E986">
        <v>74589.632000014477</v>
      </c>
      <c r="F986">
        <v>94481.827001332873</v>
      </c>
      <c r="G986">
        <v>124756.87121316939</v>
      </c>
      <c r="H986">
        <v>228558.04435150363</v>
      </c>
      <c r="I986">
        <v>655814.16285923182</v>
      </c>
      <c r="J986">
        <v>8538654.0626065694</v>
      </c>
      <c r="K986" s="68">
        <v>9108281.5559153426</v>
      </c>
    </row>
    <row r="987" spans="1:11" x14ac:dyDescent="0.35">
      <c r="A987">
        <v>987</v>
      </c>
      <c r="B987">
        <v>47328.72411534311</v>
      </c>
      <c r="C987">
        <v>60205.672921211255</v>
      </c>
      <c r="D987">
        <v>66214.164364306096</v>
      </c>
      <c r="E987">
        <v>75117.611677687033</v>
      </c>
      <c r="F987">
        <v>95989.571323517157</v>
      </c>
      <c r="G987">
        <v>125016.5461464024</v>
      </c>
      <c r="H987">
        <v>229229.49971943771</v>
      </c>
      <c r="I987">
        <v>658658.51217700564</v>
      </c>
      <c r="J987">
        <v>8549945.049326567</v>
      </c>
      <c r="K987" s="68">
        <v>9123850.0078807827</v>
      </c>
    </row>
    <row r="988" spans="1:11" x14ac:dyDescent="0.35">
      <c r="A988">
        <v>988</v>
      </c>
      <c r="B988">
        <v>51463.38613677492</v>
      </c>
      <c r="C988">
        <v>62390.568317908888</v>
      </c>
      <c r="D988">
        <v>68158.955923336267</v>
      </c>
      <c r="E988">
        <v>77853.597071840442</v>
      </c>
      <c r="F988">
        <v>100436.35884494139</v>
      </c>
      <c r="G988">
        <v>126676.67308541274</v>
      </c>
      <c r="H988">
        <v>240357.01019140185</v>
      </c>
      <c r="I988">
        <v>660348.71952913119</v>
      </c>
      <c r="J988">
        <v>8575007.7490933929</v>
      </c>
      <c r="K988" s="68">
        <v>9148795.0084513947</v>
      </c>
    </row>
    <row r="989" spans="1:11" x14ac:dyDescent="0.35">
      <c r="A989">
        <v>989</v>
      </c>
      <c r="B989">
        <v>56070.845961210631</v>
      </c>
      <c r="C989">
        <v>62558.625680546727</v>
      </c>
      <c r="D989">
        <v>70497.416502862136</v>
      </c>
      <c r="E989">
        <v>79825.630279904362</v>
      </c>
      <c r="F989">
        <v>102191.26436521392</v>
      </c>
      <c r="G989">
        <v>128390.13825308548</v>
      </c>
      <c r="H989">
        <v>242343.75061608743</v>
      </c>
      <c r="I989">
        <v>662128.51345963404</v>
      </c>
      <c r="J989">
        <v>8610850.7550678588</v>
      </c>
      <c r="K989" s="68">
        <v>9161702.5355479792</v>
      </c>
    </row>
    <row r="990" spans="1:11" x14ac:dyDescent="0.35">
      <c r="A990">
        <v>990</v>
      </c>
      <c r="B990">
        <v>60414.45953706764</v>
      </c>
      <c r="C990">
        <v>62898.322551123434</v>
      </c>
      <c r="D990">
        <v>74472.480499549187</v>
      </c>
      <c r="E990">
        <v>86164.091183150522</v>
      </c>
      <c r="F990">
        <v>102973.79185907879</v>
      </c>
      <c r="G990">
        <v>135132.31922642398</v>
      </c>
      <c r="H990">
        <v>244723.2698287864</v>
      </c>
      <c r="I990">
        <v>662226.99827214843</v>
      </c>
      <c r="J990">
        <v>8627801.7065003458</v>
      </c>
      <c r="K990" s="68">
        <v>9164651.0840637311</v>
      </c>
    </row>
    <row r="991" spans="1:11" x14ac:dyDescent="0.35">
      <c r="A991">
        <v>991</v>
      </c>
      <c r="B991">
        <v>63720.707983685243</v>
      </c>
      <c r="C991">
        <v>71447.650441206075</v>
      </c>
      <c r="D991">
        <v>76810.40418920356</v>
      </c>
      <c r="E991">
        <v>86745.069465558481</v>
      </c>
      <c r="F991">
        <v>103049.0108420225</v>
      </c>
      <c r="G991">
        <v>135727.33437396266</v>
      </c>
      <c r="H991">
        <v>246763.99250407584</v>
      </c>
      <c r="I991">
        <v>664925.05482665158</v>
      </c>
      <c r="J991">
        <v>8632941.263730552</v>
      </c>
      <c r="K991" s="68">
        <v>9201019.9369417932</v>
      </c>
    </row>
    <row r="992" spans="1:11" x14ac:dyDescent="0.35">
      <c r="A992">
        <v>992</v>
      </c>
      <c r="B992">
        <v>73894.502835087784</v>
      </c>
      <c r="C992">
        <v>71773.04805623219</v>
      </c>
      <c r="D992">
        <v>80504.198574453665</v>
      </c>
      <c r="E992">
        <v>89671.713499442296</v>
      </c>
      <c r="F992">
        <v>104907.74041736855</v>
      </c>
      <c r="G992">
        <v>141391.52128383811</v>
      </c>
      <c r="H992">
        <v>250452.66088892223</v>
      </c>
      <c r="I992">
        <v>668809.97366303985</v>
      </c>
      <c r="J992">
        <v>8639699.8925497942</v>
      </c>
      <c r="K992" s="68">
        <v>9211242.4555309564</v>
      </c>
    </row>
    <row r="993" spans="1:11" x14ac:dyDescent="0.35">
      <c r="A993">
        <v>993</v>
      </c>
      <c r="B993">
        <v>80371.993246070953</v>
      </c>
      <c r="C993">
        <v>73316.490242556829</v>
      </c>
      <c r="D993">
        <v>87294.378246802735</v>
      </c>
      <c r="E993">
        <v>92087.76253902365</v>
      </c>
      <c r="F993">
        <v>105684.17929104151</v>
      </c>
      <c r="G993">
        <v>144282.30232401111</v>
      </c>
      <c r="H993">
        <v>254627.15919194341</v>
      </c>
      <c r="I993">
        <v>676959.01625321456</v>
      </c>
      <c r="J993">
        <v>8654245.5820944495</v>
      </c>
      <c r="K993" s="68">
        <v>9212739.5378413834</v>
      </c>
    </row>
    <row r="994" spans="1:11" x14ac:dyDescent="0.35">
      <c r="A994">
        <v>994</v>
      </c>
      <c r="B994">
        <v>80781.973287304369</v>
      </c>
      <c r="C994">
        <v>73702.139182135812</v>
      </c>
      <c r="D994">
        <v>91375.870073058526</v>
      </c>
      <c r="E994">
        <v>97670.195614165117</v>
      </c>
      <c r="F994">
        <v>108068.93414310753</v>
      </c>
      <c r="G994">
        <v>150725.94765593993</v>
      </c>
      <c r="H994">
        <v>254856.35642765148</v>
      </c>
      <c r="I994">
        <v>682578.05072910176</v>
      </c>
      <c r="J994">
        <v>8692261.8846934456</v>
      </c>
      <c r="K994" s="68">
        <v>9268222.7832757533</v>
      </c>
    </row>
    <row r="995" spans="1:11" x14ac:dyDescent="0.35">
      <c r="A995">
        <v>995</v>
      </c>
      <c r="B995">
        <v>86731.958080790835</v>
      </c>
      <c r="C995">
        <v>83287.052466352281</v>
      </c>
      <c r="D995">
        <v>96937.443531186465</v>
      </c>
      <c r="E995">
        <v>99838.711915976382</v>
      </c>
      <c r="F995">
        <v>108460.13861234498</v>
      </c>
      <c r="G995">
        <v>154045.65068816391</v>
      </c>
      <c r="H995">
        <v>256465.74200964486</v>
      </c>
      <c r="I995">
        <v>734270.39648332528</v>
      </c>
      <c r="J995">
        <v>8705277.1531353556</v>
      </c>
      <c r="K995" s="68">
        <v>9269618.9681485184</v>
      </c>
    </row>
    <row r="996" spans="1:11" x14ac:dyDescent="0.35">
      <c r="A996">
        <v>996</v>
      </c>
      <c r="B996">
        <v>91911.378166764262</v>
      </c>
      <c r="C996">
        <v>92889.558360944924</v>
      </c>
      <c r="D996">
        <v>98569.137279408911</v>
      </c>
      <c r="E996">
        <v>112154.85995764523</v>
      </c>
      <c r="F996">
        <v>108470.66133302724</v>
      </c>
      <c r="G996">
        <v>156978.54888677932</v>
      </c>
      <c r="H996">
        <v>266966.07250766375</v>
      </c>
      <c r="I996">
        <v>749683.15066256281</v>
      </c>
      <c r="J996">
        <v>8738246.1298927143</v>
      </c>
      <c r="K996" s="68">
        <v>9343773.2261846829</v>
      </c>
    </row>
    <row r="997" spans="1:11" x14ac:dyDescent="0.35">
      <c r="A997">
        <v>997</v>
      </c>
      <c r="B997">
        <v>107125.14289632581</v>
      </c>
      <c r="C997">
        <v>93818.921949575728</v>
      </c>
      <c r="D997">
        <v>102929.45375283249</v>
      </c>
      <c r="E997">
        <v>120983.02187687463</v>
      </c>
      <c r="F997">
        <v>115912.42801572231</v>
      </c>
      <c r="G997">
        <v>167103.85751822527</v>
      </c>
      <c r="H997">
        <v>278579.82880049298</v>
      </c>
      <c r="I997">
        <v>760259.25914149184</v>
      </c>
      <c r="J997">
        <v>8747177.0719135571</v>
      </c>
      <c r="K997" s="68">
        <v>9347593.8867432233</v>
      </c>
    </row>
    <row r="998" spans="1:11" x14ac:dyDescent="0.35">
      <c r="A998">
        <v>998</v>
      </c>
      <c r="B998">
        <v>111434.90720214442</v>
      </c>
      <c r="C998">
        <v>99094.899220879306</v>
      </c>
      <c r="D998">
        <v>105781.20604425385</v>
      </c>
      <c r="E998">
        <v>122538.74975539907</v>
      </c>
      <c r="F998">
        <v>117155.11060620371</v>
      </c>
      <c r="G998">
        <v>169365.67989203264</v>
      </c>
      <c r="H998">
        <v>282884.518448274</v>
      </c>
      <c r="I998">
        <v>769839.27546476875</v>
      </c>
      <c r="J998">
        <v>8816146.290800089</v>
      </c>
      <c r="K998" s="68">
        <v>9409202.8432881888</v>
      </c>
    </row>
    <row r="999" spans="1:11" x14ac:dyDescent="0.35">
      <c r="A999">
        <v>999</v>
      </c>
      <c r="B999">
        <v>132787.90125927067</v>
      </c>
      <c r="C999">
        <v>99606.929737177488</v>
      </c>
      <c r="D999">
        <v>128860.46976777985</v>
      </c>
      <c r="E999">
        <v>132594.87968059414</v>
      </c>
      <c r="F999">
        <v>118732.90575913005</v>
      </c>
      <c r="G999">
        <v>169961.52986077929</v>
      </c>
      <c r="H999">
        <v>312194.31558586983</v>
      </c>
      <c r="I999">
        <v>787737.67865645688</v>
      </c>
      <c r="J999">
        <v>8923169.5294691268</v>
      </c>
      <c r="K999" s="68">
        <v>9505446.7964347713</v>
      </c>
    </row>
    <row r="1000" spans="1:11" x14ac:dyDescent="0.35">
      <c r="A1000">
        <v>1000</v>
      </c>
      <c r="B1000">
        <v>185897.3702423388</v>
      </c>
      <c r="C1000">
        <v>130415.15489782722</v>
      </c>
      <c r="D1000">
        <v>166120.75273600224</v>
      </c>
      <c r="E1000">
        <v>134306.17039701773</v>
      </c>
      <c r="F1000">
        <v>137410.43257765821</v>
      </c>
      <c r="G1000">
        <v>190023.20172113492</v>
      </c>
      <c r="H1000">
        <v>361148.32767859061</v>
      </c>
      <c r="I1000">
        <v>793870.65533268265</v>
      </c>
      <c r="J1000">
        <v>9295983.942027241</v>
      </c>
      <c r="K1000" s="68">
        <v>10220032.342122851</v>
      </c>
    </row>
  </sheetData>
  <sortState xmlns:xlrd2="http://schemas.microsoft.com/office/spreadsheetml/2017/richdata2" ref="J1:J2039">
    <sortCondition ref="J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A48"/>
  <sheetViews>
    <sheetView topLeftCell="B1" zoomScale="75" workbookViewId="0">
      <selection activeCell="B2" sqref="B2"/>
    </sheetView>
  </sheetViews>
  <sheetFormatPr baseColWidth="10" defaultRowHeight="15.5" x14ac:dyDescent="0.35"/>
  <cols>
    <col min="1" max="1" width="8.6640625" customWidth="1"/>
    <col min="2" max="11" width="12.58203125" customWidth="1"/>
    <col min="12" max="256" width="8.6640625" customWidth="1"/>
  </cols>
  <sheetData>
    <row r="1" spans="2:23" x14ac:dyDescent="0.35">
      <c r="B1" t="s">
        <v>33</v>
      </c>
    </row>
    <row r="2" spans="2:23" x14ac:dyDescent="0.35">
      <c r="B2">
        <v>357848</v>
      </c>
      <c r="C2">
        <v>766940</v>
      </c>
      <c r="D2">
        <v>610542</v>
      </c>
      <c r="E2">
        <v>482940</v>
      </c>
      <c r="F2">
        <v>527326</v>
      </c>
      <c r="G2">
        <v>574398</v>
      </c>
      <c r="H2">
        <v>146342</v>
      </c>
      <c r="I2">
        <v>139950</v>
      </c>
      <c r="J2">
        <v>227229</v>
      </c>
      <c r="K2">
        <v>67948</v>
      </c>
      <c r="N2">
        <v>357848</v>
      </c>
      <c r="O2">
        <v>1124788</v>
      </c>
      <c r="P2">
        <v>1735330</v>
      </c>
      <c r="Q2">
        <v>2218270</v>
      </c>
      <c r="R2">
        <v>2745596</v>
      </c>
      <c r="S2">
        <v>3319994</v>
      </c>
      <c r="T2">
        <v>3466336</v>
      </c>
      <c r="U2">
        <v>3606286</v>
      </c>
      <c r="V2">
        <v>3833515</v>
      </c>
      <c r="W2">
        <v>3901463</v>
      </c>
    </row>
    <row r="3" spans="2:23" x14ac:dyDescent="0.35">
      <c r="B3">
        <v>352118</v>
      </c>
      <c r="C3">
        <v>884021</v>
      </c>
      <c r="D3">
        <v>933894</v>
      </c>
      <c r="E3">
        <v>1183289</v>
      </c>
      <c r="F3">
        <v>445745</v>
      </c>
      <c r="G3">
        <v>320996</v>
      </c>
      <c r="H3">
        <v>527804</v>
      </c>
      <c r="I3">
        <v>266172</v>
      </c>
      <c r="J3">
        <v>425046</v>
      </c>
      <c r="N3">
        <v>352118</v>
      </c>
      <c r="O3">
        <v>1236139</v>
      </c>
      <c r="P3">
        <v>2170033</v>
      </c>
      <c r="Q3">
        <v>3353322</v>
      </c>
      <c r="R3">
        <v>3799067</v>
      </c>
      <c r="S3">
        <v>4120063</v>
      </c>
      <c r="T3">
        <v>4647867</v>
      </c>
      <c r="U3">
        <v>4914039</v>
      </c>
      <c r="V3">
        <v>5339085</v>
      </c>
    </row>
    <row r="4" spans="2:23" x14ac:dyDescent="0.35">
      <c r="B4">
        <v>290507</v>
      </c>
      <c r="C4">
        <v>1001799</v>
      </c>
      <c r="D4">
        <v>926219</v>
      </c>
      <c r="E4">
        <v>1016654</v>
      </c>
      <c r="F4">
        <v>750816</v>
      </c>
      <c r="G4">
        <v>146923</v>
      </c>
      <c r="H4">
        <v>495992</v>
      </c>
      <c r="I4">
        <v>280405</v>
      </c>
      <c r="N4">
        <v>290507</v>
      </c>
      <c r="O4">
        <v>1292306</v>
      </c>
      <c r="P4">
        <v>2218525</v>
      </c>
      <c r="Q4">
        <v>3235179</v>
      </c>
      <c r="R4">
        <v>3985995</v>
      </c>
      <c r="S4">
        <v>4132918</v>
      </c>
      <c r="T4">
        <v>4628910</v>
      </c>
      <c r="U4">
        <v>4909315</v>
      </c>
    </row>
    <row r="5" spans="2:23" x14ac:dyDescent="0.35">
      <c r="B5">
        <v>310608</v>
      </c>
      <c r="C5">
        <v>1108250</v>
      </c>
      <c r="D5">
        <v>776189</v>
      </c>
      <c r="E5">
        <v>1562400</v>
      </c>
      <c r="F5">
        <v>272482</v>
      </c>
      <c r="G5">
        <v>352053</v>
      </c>
      <c r="H5">
        <v>206286</v>
      </c>
      <c r="N5">
        <v>310608</v>
      </c>
      <c r="O5">
        <v>1418858</v>
      </c>
      <c r="P5">
        <v>2195047</v>
      </c>
      <c r="Q5">
        <v>3757447</v>
      </c>
      <c r="R5">
        <v>4029929</v>
      </c>
      <c r="S5">
        <v>4381982</v>
      </c>
      <c r="T5">
        <v>4588268</v>
      </c>
    </row>
    <row r="6" spans="2:23" x14ac:dyDescent="0.35">
      <c r="B6">
        <v>443160</v>
      </c>
      <c r="C6">
        <v>693190</v>
      </c>
      <c r="D6">
        <v>991983</v>
      </c>
      <c r="E6">
        <v>769488</v>
      </c>
      <c r="F6">
        <v>504851</v>
      </c>
      <c r="G6">
        <v>470639</v>
      </c>
      <c r="N6">
        <v>443160</v>
      </c>
      <c r="O6">
        <v>1136350</v>
      </c>
      <c r="P6">
        <v>2128333</v>
      </c>
      <c r="Q6">
        <v>2897821</v>
      </c>
      <c r="R6">
        <v>3402672</v>
      </c>
      <c r="S6">
        <v>3873311</v>
      </c>
    </row>
    <row r="7" spans="2:23" x14ac:dyDescent="0.35">
      <c r="B7">
        <v>396132</v>
      </c>
      <c r="C7">
        <v>937085</v>
      </c>
      <c r="D7">
        <v>847498</v>
      </c>
      <c r="E7">
        <v>805037</v>
      </c>
      <c r="F7">
        <v>705960</v>
      </c>
      <c r="N7">
        <v>396132</v>
      </c>
      <c r="O7">
        <v>1333217</v>
      </c>
      <c r="P7">
        <v>2180715</v>
      </c>
      <c r="Q7">
        <v>2985752</v>
      </c>
      <c r="R7">
        <v>3691712</v>
      </c>
    </row>
    <row r="8" spans="2:23" x14ac:dyDescent="0.35">
      <c r="B8">
        <v>440832</v>
      </c>
      <c r="C8">
        <v>847631</v>
      </c>
      <c r="D8">
        <v>1131398</v>
      </c>
      <c r="E8">
        <v>1063269</v>
      </c>
      <c r="N8">
        <v>440832</v>
      </c>
      <c r="O8">
        <v>1288463</v>
      </c>
      <c r="P8">
        <v>2419861</v>
      </c>
      <c r="Q8">
        <v>3483130</v>
      </c>
    </row>
    <row r="9" spans="2:23" x14ac:dyDescent="0.35">
      <c r="B9">
        <v>359480</v>
      </c>
      <c r="C9">
        <v>1061648</v>
      </c>
      <c r="D9">
        <v>1443370</v>
      </c>
      <c r="N9">
        <v>359480</v>
      </c>
      <c r="O9">
        <v>1421128</v>
      </c>
      <c r="P9">
        <v>2864498</v>
      </c>
    </row>
    <row r="10" spans="2:23" x14ac:dyDescent="0.35">
      <c r="B10">
        <v>376686</v>
      </c>
      <c r="C10">
        <v>986608</v>
      </c>
      <c r="N10">
        <v>376686</v>
      </c>
      <c r="O10">
        <v>1363294</v>
      </c>
    </row>
    <row r="11" spans="2:23" x14ac:dyDescent="0.35">
      <c r="B11">
        <v>344014</v>
      </c>
      <c r="N11">
        <v>344014</v>
      </c>
    </row>
    <row r="13" spans="2:23" x14ac:dyDescent="0.35">
      <c r="B13" t="s">
        <v>30</v>
      </c>
    </row>
    <row r="14" spans="2:23" x14ac:dyDescent="0.35">
      <c r="B14">
        <v>45630</v>
      </c>
      <c r="C14">
        <v>23350</v>
      </c>
      <c r="D14">
        <v>2924</v>
      </c>
      <c r="E14">
        <v>1798</v>
      </c>
      <c r="F14">
        <v>2007</v>
      </c>
      <c r="G14">
        <v>1204</v>
      </c>
      <c r="H14">
        <v>1298</v>
      </c>
      <c r="I14">
        <v>563</v>
      </c>
      <c r="J14">
        <v>777</v>
      </c>
      <c r="K14">
        <v>621</v>
      </c>
      <c r="N14">
        <v>45630</v>
      </c>
      <c r="O14">
        <v>68980</v>
      </c>
      <c r="P14">
        <v>71904</v>
      </c>
      <c r="Q14">
        <v>73702</v>
      </c>
      <c r="R14">
        <v>75709</v>
      </c>
      <c r="S14">
        <v>76913</v>
      </c>
      <c r="T14">
        <v>78211</v>
      </c>
      <c r="U14">
        <v>78774</v>
      </c>
      <c r="V14">
        <v>79551</v>
      </c>
      <c r="W14">
        <v>80172</v>
      </c>
    </row>
    <row r="15" spans="2:23" x14ac:dyDescent="0.35">
      <c r="B15">
        <v>53025</v>
      </c>
      <c r="C15">
        <v>26466</v>
      </c>
      <c r="D15">
        <v>2829</v>
      </c>
      <c r="E15">
        <v>1748</v>
      </c>
      <c r="F15">
        <v>732</v>
      </c>
      <c r="G15">
        <v>1424</v>
      </c>
      <c r="H15">
        <v>399</v>
      </c>
      <c r="I15">
        <v>537</v>
      </c>
      <c r="J15">
        <v>340</v>
      </c>
      <c r="N15">
        <v>53025</v>
      </c>
      <c r="O15">
        <v>79491</v>
      </c>
      <c r="P15">
        <v>82320</v>
      </c>
      <c r="Q15">
        <v>84068</v>
      </c>
      <c r="R15">
        <v>84800</v>
      </c>
      <c r="S15">
        <v>86224</v>
      </c>
      <c r="T15">
        <v>86623</v>
      </c>
      <c r="U15">
        <v>87160</v>
      </c>
      <c r="V15">
        <v>87500</v>
      </c>
    </row>
    <row r="16" spans="2:23" x14ac:dyDescent="0.35">
      <c r="B16">
        <v>67318</v>
      </c>
      <c r="C16">
        <v>42333</v>
      </c>
      <c r="D16">
        <v>-1854</v>
      </c>
      <c r="E16">
        <v>3178</v>
      </c>
      <c r="F16">
        <v>3045</v>
      </c>
      <c r="G16">
        <v>3281</v>
      </c>
      <c r="H16">
        <v>2909</v>
      </c>
      <c r="I16">
        <v>2613</v>
      </c>
      <c r="N16">
        <v>67318</v>
      </c>
      <c r="O16">
        <v>109651</v>
      </c>
      <c r="P16">
        <v>107797</v>
      </c>
      <c r="Q16">
        <v>110975</v>
      </c>
      <c r="R16">
        <v>114020</v>
      </c>
      <c r="S16">
        <v>117301</v>
      </c>
      <c r="T16">
        <v>120210</v>
      </c>
      <c r="U16">
        <v>122823</v>
      </c>
    </row>
    <row r="17" spans="2:27" x14ac:dyDescent="0.35">
      <c r="B17">
        <v>93489</v>
      </c>
      <c r="C17">
        <v>37473</v>
      </c>
      <c r="D17">
        <v>7431</v>
      </c>
      <c r="E17">
        <v>6648</v>
      </c>
      <c r="F17">
        <v>4207</v>
      </c>
      <c r="G17">
        <v>5762</v>
      </c>
      <c r="H17">
        <v>1890</v>
      </c>
      <c r="N17">
        <v>93489</v>
      </c>
      <c r="O17">
        <v>130962</v>
      </c>
      <c r="P17">
        <v>138393</v>
      </c>
      <c r="Q17">
        <v>145041</v>
      </c>
      <c r="R17">
        <v>149248</v>
      </c>
      <c r="S17">
        <v>155010</v>
      </c>
      <c r="T17">
        <v>156900</v>
      </c>
    </row>
    <row r="18" spans="2:27" x14ac:dyDescent="0.35">
      <c r="B18">
        <v>80517</v>
      </c>
      <c r="C18">
        <v>33061</v>
      </c>
      <c r="D18">
        <v>6863</v>
      </c>
      <c r="E18">
        <v>4328</v>
      </c>
      <c r="F18">
        <v>4003</v>
      </c>
      <c r="G18">
        <v>2350</v>
      </c>
      <c r="N18">
        <v>80517</v>
      </c>
      <c r="O18">
        <v>113578</v>
      </c>
      <c r="P18">
        <v>120441</v>
      </c>
      <c r="Q18">
        <v>124769</v>
      </c>
      <c r="R18">
        <v>128772</v>
      </c>
      <c r="S18">
        <v>131122</v>
      </c>
    </row>
    <row r="19" spans="2:27" x14ac:dyDescent="0.35">
      <c r="B19">
        <v>68690</v>
      </c>
      <c r="C19">
        <v>33931</v>
      </c>
      <c r="D19">
        <v>5645</v>
      </c>
      <c r="E19">
        <v>6178</v>
      </c>
      <c r="F19">
        <v>3479</v>
      </c>
      <c r="N19">
        <v>68690</v>
      </c>
      <c r="O19">
        <v>102621</v>
      </c>
      <c r="P19">
        <v>108266</v>
      </c>
      <c r="Q19">
        <v>114444</v>
      </c>
      <c r="R19">
        <v>117923</v>
      </c>
    </row>
    <row r="20" spans="2:27" x14ac:dyDescent="0.35">
      <c r="B20">
        <v>63091</v>
      </c>
      <c r="C20">
        <v>32198</v>
      </c>
      <c r="D20">
        <v>8938</v>
      </c>
      <c r="E20">
        <v>6879</v>
      </c>
      <c r="N20">
        <v>63091</v>
      </c>
      <c r="O20">
        <v>95289</v>
      </c>
      <c r="P20">
        <v>104227</v>
      </c>
      <c r="Q20">
        <v>111106</v>
      </c>
    </row>
    <row r="21" spans="2:27" x14ac:dyDescent="0.35">
      <c r="B21">
        <v>64430</v>
      </c>
      <c r="C21">
        <v>32491</v>
      </c>
      <c r="D21">
        <v>8414</v>
      </c>
      <c r="N21">
        <v>64430</v>
      </c>
      <c r="O21">
        <v>96921</v>
      </c>
      <c r="P21">
        <v>105335</v>
      </c>
    </row>
    <row r="22" spans="2:27" x14ac:dyDescent="0.35">
      <c r="B22">
        <v>68548</v>
      </c>
      <c r="C22">
        <v>35366</v>
      </c>
      <c r="N22">
        <v>68548</v>
      </c>
      <c r="O22">
        <v>103914</v>
      </c>
      <c r="AA22" s="23"/>
    </row>
    <row r="23" spans="2:27" x14ac:dyDescent="0.35">
      <c r="B23">
        <v>76013</v>
      </c>
      <c r="N23">
        <v>76013</v>
      </c>
    </row>
    <row r="25" spans="2:27" x14ac:dyDescent="0.35">
      <c r="B25" t="s">
        <v>34</v>
      </c>
    </row>
    <row r="26" spans="2:27" x14ac:dyDescent="0.35">
      <c r="B26">
        <v>5012</v>
      </c>
      <c r="C26">
        <v>3257</v>
      </c>
      <c r="D26">
        <v>2638</v>
      </c>
      <c r="E26">
        <v>898</v>
      </c>
      <c r="F26">
        <v>1734</v>
      </c>
      <c r="G26">
        <v>2642</v>
      </c>
      <c r="H26">
        <v>1828</v>
      </c>
      <c r="I26">
        <v>599</v>
      </c>
      <c r="J26">
        <v>54</v>
      </c>
      <c r="K26">
        <v>172</v>
      </c>
      <c r="N26">
        <v>5012</v>
      </c>
      <c r="O26">
        <v>8269</v>
      </c>
      <c r="P26">
        <v>10907</v>
      </c>
      <c r="Q26">
        <v>11805</v>
      </c>
      <c r="R26">
        <v>13539</v>
      </c>
      <c r="S26">
        <v>16181</v>
      </c>
      <c r="T26">
        <v>18009</v>
      </c>
      <c r="U26">
        <v>18608</v>
      </c>
      <c r="V26">
        <v>18662</v>
      </c>
      <c r="W26">
        <v>18834</v>
      </c>
    </row>
    <row r="27" spans="2:27" x14ac:dyDescent="0.35">
      <c r="B27">
        <v>106</v>
      </c>
      <c r="C27">
        <v>4179</v>
      </c>
      <c r="D27">
        <v>1111</v>
      </c>
      <c r="E27">
        <v>5270</v>
      </c>
      <c r="F27">
        <v>3116</v>
      </c>
      <c r="G27">
        <v>1817</v>
      </c>
      <c r="H27">
        <v>-103</v>
      </c>
      <c r="I27">
        <v>673</v>
      </c>
      <c r="J27">
        <v>535</v>
      </c>
      <c r="N27">
        <v>106</v>
      </c>
      <c r="O27">
        <v>4285</v>
      </c>
      <c r="P27">
        <v>5396</v>
      </c>
      <c r="Q27">
        <v>10666</v>
      </c>
      <c r="R27">
        <v>13782</v>
      </c>
      <c r="S27">
        <v>15599</v>
      </c>
      <c r="T27">
        <v>15496</v>
      </c>
      <c r="U27">
        <v>16169</v>
      </c>
      <c r="V27">
        <v>16704</v>
      </c>
    </row>
    <row r="28" spans="2:27" x14ac:dyDescent="0.35">
      <c r="B28">
        <v>3410</v>
      </c>
      <c r="C28">
        <v>5582</v>
      </c>
      <c r="D28">
        <v>4881</v>
      </c>
      <c r="E28">
        <v>2268</v>
      </c>
      <c r="F28">
        <v>2594</v>
      </c>
      <c r="G28">
        <v>3479</v>
      </c>
      <c r="H28">
        <v>649</v>
      </c>
      <c r="I28">
        <v>603</v>
      </c>
      <c r="N28">
        <v>3410</v>
      </c>
      <c r="O28">
        <v>8992</v>
      </c>
      <c r="P28">
        <v>13873</v>
      </c>
      <c r="Q28">
        <v>16141</v>
      </c>
      <c r="R28">
        <v>18735</v>
      </c>
      <c r="S28">
        <v>22214</v>
      </c>
      <c r="T28">
        <v>22863</v>
      </c>
      <c r="U28">
        <v>23466</v>
      </c>
    </row>
    <row r="29" spans="2:27" x14ac:dyDescent="0.35">
      <c r="B29">
        <v>5655</v>
      </c>
      <c r="C29">
        <v>5900</v>
      </c>
      <c r="D29">
        <v>4211</v>
      </c>
      <c r="E29">
        <v>5500</v>
      </c>
      <c r="F29">
        <v>2159</v>
      </c>
      <c r="G29">
        <v>2658</v>
      </c>
      <c r="H29">
        <v>984</v>
      </c>
      <c r="N29">
        <v>5655</v>
      </c>
      <c r="O29">
        <v>11555</v>
      </c>
      <c r="P29">
        <v>15766</v>
      </c>
      <c r="Q29">
        <v>21266</v>
      </c>
      <c r="R29">
        <v>23425</v>
      </c>
      <c r="S29">
        <v>26083</v>
      </c>
      <c r="T29">
        <v>27067</v>
      </c>
    </row>
    <row r="30" spans="2:27" x14ac:dyDescent="0.35">
      <c r="B30">
        <v>1092</v>
      </c>
      <c r="C30">
        <v>8473</v>
      </c>
      <c r="D30">
        <v>6271</v>
      </c>
      <c r="E30">
        <v>6333</v>
      </c>
      <c r="F30">
        <v>3786</v>
      </c>
      <c r="G30">
        <v>225</v>
      </c>
      <c r="N30">
        <v>1092</v>
      </c>
      <c r="O30">
        <v>9565</v>
      </c>
      <c r="P30">
        <v>15836</v>
      </c>
      <c r="Q30">
        <v>22169</v>
      </c>
      <c r="R30">
        <v>25955</v>
      </c>
      <c r="S30">
        <v>26180</v>
      </c>
    </row>
    <row r="31" spans="2:27" x14ac:dyDescent="0.35">
      <c r="B31">
        <v>1513</v>
      </c>
      <c r="C31">
        <v>4932</v>
      </c>
      <c r="D31">
        <v>5257</v>
      </c>
      <c r="E31">
        <v>1233</v>
      </c>
      <c r="F31">
        <v>2917</v>
      </c>
      <c r="N31">
        <v>1513</v>
      </c>
      <c r="O31">
        <v>6445</v>
      </c>
      <c r="P31">
        <v>11702</v>
      </c>
      <c r="Q31">
        <v>12935</v>
      </c>
      <c r="R31">
        <v>15852</v>
      </c>
    </row>
    <row r="32" spans="2:27" x14ac:dyDescent="0.35">
      <c r="B32">
        <v>557</v>
      </c>
      <c r="C32">
        <v>3463</v>
      </c>
      <c r="D32">
        <v>6926</v>
      </c>
      <c r="E32">
        <v>1368</v>
      </c>
      <c r="N32">
        <v>557</v>
      </c>
      <c r="O32">
        <v>4020</v>
      </c>
      <c r="P32">
        <v>10946</v>
      </c>
      <c r="Q32">
        <v>12314</v>
      </c>
    </row>
    <row r="33" spans="2:23" x14ac:dyDescent="0.35">
      <c r="B33">
        <v>1351</v>
      </c>
      <c r="C33">
        <v>5596</v>
      </c>
      <c r="D33">
        <v>6165</v>
      </c>
      <c r="N33">
        <v>1351</v>
      </c>
      <c r="O33">
        <v>6947</v>
      </c>
      <c r="P33">
        <v>13112</v>
      </c>
    </row>
    <row r="34" spans="2:23" x14ac:dyDescent="0.35">
      <c r="B34">
        <v>3133</v>
      </c>
      <c r="C34">
        <v>2262</v>
      </c>
      <c r="N34">
        <v>3133</v>
      </c>
      <c r="O34">
        <v>5395</v>
      </c>
    </row>
    <row r="35" spans="2:23" x14ac:dyDescent="0.35">
      <c r="B35">
        <v>2063</v>
      </c>
      <c r="N35">
        <v>2063</v>
      </c>
    </row>
    <row r="38" spans="2:23" x14ac:dyDescent="0.35">
      <c r="B38" s="11">
        <f>N38</f>
        <v>708399</v>
      </c>
      <c r="C38" s="11">
        <f>O38-N38</f>
        <v>1161336</v>
      </c>
      <c r="D38" s="11">
        <f t="shared" ref="D38:K45" si="0">P38-O38</f>
        <v>43972</v>
      </c>
      <c r="E38" s="11">
        <f t="shared" si="0"/>
        <v>-18236</v>
      </c>
      <c r="F38" s="11">
        <f t="shared" si="0"/>
        <v>-59500</v>
      </c>
      <c r="G38" s="11">
        <f t="shared" si="0"/>
        <v>-39999</v>
      </c>
      <c r="H38" s="11">
        <f t="shared" si="0"/>
        <v>-5301</v>
      </c>
      <c r="I38" s="11">
        <f t="shared" si="0"/>
        <v>-104788</v>
      </c>
      <c r="J38" s="11">
        <f t="shared" si="0"/>
        <v>4040</v>
      </c>
      <c r="K38" s="11">
        <f t="shared" si="0"/>
        <v>10509</v>
      </c>
      <c r="N38" s="40">
        <v>708399</v>
      </c>
      <c r="O38" s="41">
        <v>1869735</v>
      </c>
      <c r="P38" s="41">
        <v>1913707</v>
      </c>
      <c r="Q38" s="41">
        <v>1895471</v>
      </c>
      <c r="R38" s="41">
        <v>1835971</v>
      </c>
      <c r="S38" s="41">
        <v>1795972</v>
      </c>
      <c r="T38" s="41">
        <v>1790671</v>
      </c>
      <c r="U38" s="41">
        <v>1685883</v>
      </c>
      <c r="V38" s="41">
        <v>1689923</v>
      </c>
      <c r="W38" s="41">
        <v>1700432</v>
      </c>
    </row>
    <row r="39" spans="2:23" x14ac:dyDescent="0.35">
      <c r="B39" s="11">
        <f t="shared" ref="B39:B47" si="1">N39</f>
        <v>201532</v>
      </c>
      <c r="C39" s="11">
        <f t="shared" ref="C39:C46" si="2">O39-N39</f>
        <v>1043442</v>
      </c>
      <c r="D39" s="11">
        <f t="shared" si="0"/>
        <v>200324</v>
      </c>
      <c r="E39" s="11">
        <f t="shared" si="0"/>
        <v>61705</v>
      </c>
      <c r="F39" s="11">
        <f t="shared" si="0"/>
        <v>1468</v>
      </c>
      <c r="G39" s="11">
        <f t="shared" si="0"/>
        <v>-1483</v>
      </c>
      <c r="H39" s="11">
        <f t="shared" si="0"/>
        <v>-4851</v>
      </c>
      <c r="I39" s="11">
        <f t="shared" si="0"/>
        <v>-15491</v>
      </c>
      <c r="J39" s="11">
        <f t="shared" si="0"/>
        <v>-27</v>
      </c>
      <c r="N39" s="40">
        <v>201532</v>
      </c>
      <c r="O39" s="41">
        <v>1244974</v>
      </c>
      <c r="P39" s="41">
        <v>1445298</v>
      </c>
      <c r="Q39" s="41">
        <v>1507003</v>
      </c>
      <c r="R39" s="41">
        <v>1508471</v>
      </c>
      <c r="S39" s="41">
        <v>1506988</v>
      </c>
      <c r="T39" s="41">
        <v>1502137</v>
      </c>
      <c r="U39" s="41">
        <v>1486646</v>
      </c>
      <c r="V39" s="41">
        <v>1486619</v>
      </c>
      <c r="W39" s="41">
        <v>0</v>
      </c>
    </row>
    <row r="40" spans="2:23" x14ac:dyDescent="0.35">
      <c r="B40" s="11">
        <f t="shared" si="1"/>
        <v>272255</v>
      </c>
      <c r="C40" s="11">
        <f t="shared" si="2"/>
        <v>2402173</v>
      </c>
      <c r="D40" s="11">
        <f t="shared" si="0"/>
        <v>41693</v>
      </c>
      <c r="E40" s="11">
        <f t="shared" si="0"/>
        <v>-76574</v>
      </c>
      <c r="F40" s="11">
        <f t="shared" si="0"/>
        <v>3324</v>
      </c>
      <c r="G40" s="11">
        <f t="shared" si="0"/>
        <v>-58667</v>
      </c>
      <c r="H40" s="11">
        <f t="shared" si="0"/>
        <v>-28055</v>
      </c>
      <c r="I40" s="11">
        <f t="shared" si="0"/>
        <v>-1531</v>
      </c>
      <c r="N40" s="40">
        <v>272255</v>
      </c>
      <c r="O40" s="41">
        <v>2674428</v>
      </c>
      <c r="P40" s="41">
        <v>2716121</v>
      </c>
      <c r="Q40" s="41">
        <v>2639547</v>
      </c>
      <c r="R40" s="41">
        <v>2642871</v>
      </c>
      <c r="S40" s="41">
        <v>2584204</v>
      </c>
      <c r="T40" s="41">
        <v>2556149</v>
      </c>
      <c r="U40" s="41">
        <v>2554618</v>
      </c>
      <c r="V40" s="41">
        <v>0</v>
      </c>
      <c r="W40" s="41">
        <v>0</v>
      </c>
    </row>
    <row r="41" spans="2:23" x14ac:dyDescent="0.35">
      <c r="B41" s="11">
        <f t="shared" si="1"/>
        <v>331821</v>
      </c>
      <c r="C41" s="11">
        <f t="shared" si="2"/>
        <v>1023293</v>
      </c>
      <c r="D41" s="11">
        <f t="shared" si="0"/>
        <v>152887</v>
      </c>
      <c r="E41" s="11">
        <f t="shared" si="0"/>
        <v>-95817</v>
      </c>
      <c r="F41" s="11">
        <f t="shared" si="0"/>
        <v>-29646</v>
      </c>
      <c r="G41" s="11">
        <f t="shared" si="0"/>
        <v>41413</v>
      </c>
      <c r="H41" s="11">
        <f t="shared" si="0"/>
        <v>3268</v>
      </c>
      <c r="N41" s="40">
        <v>331821</v>
      </c>
      <c r="O41" s="41">
        <v>1355114</v>
      </c>
      <c r="P41" s="41">
        <v>1508001</v>
      </c>
      <c r="Q41" s="41">
        <v>1412184</v>
      </c>
      <c r="R41" s="41">
        <v>1382538</v>
      </c>
      <c r="S41" s="41">
        <v>1423951</v>
      </c>
      <c r="T41" s="41">
        <v>1427219</v>
      </c>
      <c r="U41" s="41">
        <v>0</v>
      </c>
      <c r="V41" s="41">
        <v>0</v>
      </c>
      <c r="W41" s="41">
        <v>0</v>
      </c>
    </row>
    <row r="42" spans="2:23" x14ac:dyDescent="0.35">
      <c r="B42" s="11">
        <f t="shared" si="1"/>
        <v>231908</v>
      </c>
      <c r="C42" s="11">
        <f t="shared" si="2"/>
        <v>2020987</v>
      </c>
      <c r="D42" s="11">
        <f t="shared" si="0"/>
        <v>98721</v>
      </c>
      <c r="E42" s="11">
        <f t="shared" si="0"/>
        <v>-82000</v>
      </c>
      <c r="F42" s="11">
        <f t="shared" si="0"/>
        <v>-152250</v>
      </c>
      <c r="G42" s="11">
        <f t="shared" si="0"/>
        <v>64119</v>
      </c>
      <c r="N42" s="40">
        <v>231908</v>
      </c>
      <c r="O42" s="41">
        <v>2252895</v>
      </c>
      <c r="P42" s="41">
        <v>2351616</v>
      </c>
      <c r="Q42" s="41">
        <v>2269616</v>
      </c>
      <c r="R42" s="41">
        <v>2117366</v>
      </c>
      <c r="S42" s="41">
        <v>2181485</v>
      </c>
      <c r="T42" s="41">
        <v>0</v>
      </c>
      <c r="U42" s="41">
        <v>0</v>
      </c>
      <c r="V42" s="41">
        <v>0</v>
      </c>
      <c r="W42" s="41">
        <v>0</v>
      </c>
    </row>
    <row r="43" spans="2:23" x14ac:dyDescent="0.35">
      <c r="B43" s="11">
        <f t="shared" si="1"/>
        <v>519075</v>
      </c>
      <c r="C43" s="11">
        <f t="shared" si="2"/>
        <v>4021490</v>
      </c>
      <c r="D43" s="11">
        <f t="shared" si="0"/>
        <v>-566911</v>
      </c>
      <c r="E43" s="11">
        <f t="shared" si="0"/>
        <v>14117</v>
      </c>
      <c r="F43" s="11">
        <f t="shared" si="0"/>
        <v>-4409</v>
      </c>
      <c r="N43" s="40">
        <v>519075</v>
      </c>
      <c r="O43" s="41">
        <v>4540565</v>
      </c>
      <c r="P43" s="41">
        <v>3973654</v>
      </c>
      <c r="Q43" s="41">
        <v>3987771</v>
      </c>
      <c r="R43" s="41">
        <v>3983362</v>
      </c>
      <c r="S43" s="41">
        <v>0</v>
      </c>
      <c r="T43" s="41">
        <v>0</v>
      </c>
      <c r="U43" s="41">
        <v>0</v>
      </c>
      <c r="V43" s="41">
        <v>0</v>
      </c>
      <c r="W43" s="41">
        <v>0</v>
      </c>
    </row>
    <row r="44" spans="2:23" x14ac:dyDescent="0.35">
      <c r="B44" s="11">
        <f t="shared" si="1"/>
        <v>1756369</v>
      </c>
      <c r="C44" s="11">
        <f t="shared" si="2"/>
        <v>1680115</v>
      </c>
      <c r="D44" s="11">
        <f t="shared" si="0"/>
        <v>1762210</v>
      </c>
      <c r="E44" s="11">
        <f t="shared" si="0"/>
        <v>-94706</v>
      </c>
      <c r="N44" s="40">
        <v>1756369</v>
      </c>
      <c r="O44" s="41">
        <v>3436484</v>
      </c>
      <c r="P44" s="41">
        <v>5198694</v>
      </c>
      <c r="Q44" s="41">
        <v>5103988</v>
      </c>
      <c r="R44" s="41">
        <v>0</v>
      </c>
      <c r="S44" s="41">
        <v>0</v>
      </c>
      <c r="T44" s="41">
        <v>0</v>
      </c>
      <c r="U44" s="41">
        <v>0</v>
      </c>
      <c r="V44" s="41">
        <v>0</v>
      </c>
      <c r="W44" s="41">
        <v>0</v>
      </c>
    </row>
    <row r="45" spans="2:23" x14ac:dyDescent="0.35">
      <c r="B45" s="11">
        <f t="shared" si="1"/>
        <v>2097424</v>
      </c>
      <c r="C45" s="11">
        <f t="shared" si="2"/>
        <v>5738243</v>
      </c>
      <c r="D45" s="11">
        <f t="shared" si="0"/>
        <v>-39802</v>
      </c>
      <c r="N45" s="40">
        <v>2097424</v>
      </c>
      <c r="O45" s="41">
        <v>7835667</v>
      </c>
      <c r="P45" s="41">
        <v>7795865</v>
      </c>
      <c r="Q45" s="41">
        <v>0</v>
      </c>
      <c r="R45" s="41">
        <v>0</v>
      </c>
      <c r="S45" s="41">
        <v>0</v>
      </c>
      <c r="T45" s="41">
        <v>0</v>
      </c>
      <c r="U45" s="41">
        <v>0</v>
      </c>
      <c r="V45" s="41">
        <v>0</v>
      </c>
      <c r="W45" s="41">
        <v>0</v>
      </c>
    </row>
    <row r="46" spans="2:23" x14ac:dyDescent="0.35">
      <c r="B46" s="11">
        <f t="shared" si="1"/>
        <v>1359283</v>
      </c>
      <c r="C46" s="11">
        <f t="shared" si="2"/>
        <v>2478315</v>
      </c>
      <c r="N46" s="40">
        <v>1359283</v>
      </c>
      <c r="O46" s="41">
        <v>3837598</v>
      </c>
      <c r="P46" s="41">
        <v>0</v>
      </c>
      <c r="Q46" s="41">
        <v>0</v>
      </c>
      <c r="R46" s="41">
        <v>0</v>
      </c>
      <c r="S46" s="41">
        <v>0</v>
      </c>
      <c r="T46" s="41">
        <v>0</v>
      </c>
      <c r="U46" s="41">
        <v>0</v>
      </c>
      <c r="V46" s="41">
        <v>0</v>
      </c>
      <c r="W46" s="41">
        <v>0</v>
      </c>
    </row>
    <row r="47" spans="2:23" x14ac:dyDescent="0.35">
      <c r="B47" s="11">
        <f t="shared" si="1"/>
        <v>2984966</v>
      </c>
      <c r="N47" s="42">
        <v>2984966</v>
      </c>
      <c r="O47" s="43">
        <v>0</v>
      </c>
      <c r="P47" s="43">
        <v>0</v>
      </c>
      <c r="Q47" s="43">
        <v>0</v>
      </c>
      <c r="R47" s="43">
        <v>0</v>
      </c>
      <c r="S47" s="43">
        <v>0</v>
      </c>
      <c r="T47" s="43">
        <v>0</v>
      </c>
      <c r="U47" s="43">
        <v>0</v>
      </c>
      <c r="V47" s="43">
        <v>0</v>
      </c>
      <c r="W47" s="43">
        <v>0</v>
      </c>
    </row>
    <row r="48" spans="2:23" x14ac:dyDescent="0.35">
      <c r="B48" s="11"/>
    </row>
  </sheetData>
  <phoneticPr fontId="0" type="noConversion"/>
  <printOptions gridLines="1" gridLinesSet="0"/>
  <pageMargins left="0.78740157499999996" right="0.78740157499999996" top="0.984251969" bottom="0.984251969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Bootstrap</vt:lpstr>
      <vt:lpstr>SAMPLE</vt:lpstr>
      <vt:lpstr>Data</vt:lpstr>
      <vt:lpstr>bsnum</vt:lpstr>
      <vt:lpstr>Input1</vt:lpstr>
      <vt:lpstr>saveres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 Non-Life Technical Dept</dc:creator>
  <cp:lastModifiedBy>NAJED</cp:lastModifiedBy>
  <cp:lastPrinted>2000-02-08T11:58:17Z</cp:lastPrinted>
  <dcterms:created xsi:type="dcterms:W3CDTF">1998-04-22T11:29:05Z</dcterms:created>
  <dcterms:modified xsi:type="dcterms:W3CDTF">2022-02-04T12:25:38Z</dcterms:modified>
</cp:coreProperties>
</file>